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08\Desktop\"/>
    </mc:Choice>
  </mc:AlternateContent>
  <bookViews>
    <workbookView xWindow="0" yWindow="0" windowWidth="20490" windowHeight="7320" firstSheet="8" activeTab="12"/>
  </bookViews>
  <sheets>
    <sheet name="AISHWARYA" sheetId="1" r:id="rId1"/>
    <sheet name="BHUVANA" sheetId="25" r:id="rId2"/>
    <sheet name="TUFAIL" sheetId="26" r:id="rId3"/>
    <sheet name="AJITH" sheetId="24" r:id="rId4"/>
    <sheet name="YASHAS" sheetId="23" r:id="rId5"/>
    <sheet name="VISHNU" sheetId="22" r:id="rId6"/>
    <sheet name="VINAY" sheetId="21" r:id="rId7"/>
    <sheet name="SRINIVASULU" sheetId="20" r:id="rId8"/>
    <sheet name="VENGABABU" sheetId="29" r:id="rId9"/>
    <sheet name="SHIVAM" sheetId="30" r:id="rId10"/>
    <sheet name="MUGESH" sheetId="33" r:id="rId11"/>
    <sheet name="PALLAVI" sheetId="31" r:id="rId12"/>
    <sheet name="SAIPRASANTH" sheetId="32" r:id="rId13"/>
    <sheet name="SHIVA" sheetId="19" r:id="rId14"/>
    <sheet name="SHARIFF" sheetId="18" r:id="rId15"/>
    <sheet name="SAMPATH" sheetId="17" r:id="rId16"/>
    <sheet name="ROSHNI" sheetId="16" r:id="rId17"/>
    <sheet name="RAVEENDRA" sheetId="14" r:id="rId18"/>
    <sheet name="RAKESH" sheetId="13" r:id="rId19"/>
    <sheet name="PURUSHOTHAM" sheetId="12" r:id="rId20"/>
    <sheet name="LALITH" sheetId="11" r:id="rId21"/>
    <sheet name="HARISH" sheetId="9" r:id="rId22"/>
    <sheet name="HARIPRASATH" sheetId="8" r:id="rId23"/>
    <sheet name="BALAJI" sheetId="5" r:id="rId24"/>
    <sheet name="ASAD" sheetId="4" r:id="rId25"/>
    <sheet name="ARUN" sheetId="3" r:id="rId26"/>
    <sheet name="ARJUN" sheetId="2" r:id="rId27"/>
    <sheet name="CHARAN" sheetId="7" r:id="rId28"/>
    <sheet name="KAVYA" sheetId="10" r:id="rId29"/>
    <sheet name="ROSHAN" sheetId="15" r:id="rId30"/>
    <sheet name="PAVAN" sheetId="28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3" i="33" l="1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O23" i="20"/>
  <c r="X19" i="15" l="1"/>
  <c r="Q9" i="7"/>
  <c r="Q10" i="7"/>
  <c r="Q11" i="7"/>
  <c r="Q12" i="7"/>
  <c r="Q13" i="7"/>
  <c r="Q14" i="7"/>
  <c r="Q15" i="7"/>
  <c r="Q16" i="7"/>
  <c r="Q17" i="7"/>
  <c r="Q18" i="7"/>
  <c r="Q19" i="7"/>
  <c r="Q8" i="7"/>
  <c r="Q19" i="18" l="1"/>
  <c r="O23" i="2" l="1"/>
  <c r="AA22" i="28" l="1"/>
  <c r="Z22" i="28"/>
  <c r="Y22" i="28"/>
  <c r="X22" i="28"/>
  <c r="W22" i="28"/>
  <c r="V22" i="28"/>
  <c r="U22" i="28"/>
  <c r="T22" i="28"/>
  <c r="S22" i="28"/>
  <c r="Q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R13" i="28"/>
  <c r="R12" i="28"/>
  <c r="R11" i="28"/>
  <c r="R10" i="28"/>
  <c r="R9" i="28"/>
  <c r="R8" i="28"/>
  <c r="R22" i="28" l="1"/>
  <c r="AA23" i="26" l="1"/>
  <c r="Z23" i="26"/>
  <c r="Y23" i="26"/>
  <c r="X23" i="26"/>
  <c r="W23" i="26"/>
  <c r="V23" i="26"/>
  <c r="U23" i="26"/>
  <c r="T23" i="26"/>
  <c r="S23" i="26"/>
  <c r="R23" i="26"/>
  <c r="Q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AB17" i="25" l="1"/>
  <c r="AA17" i="25"/>
  <c r="Y17" i="25"/>
  <c r="X17" i="25"/>
  <c r="W17" i="25"/>
  <c r="V17" i="25"/>
  <c r="U17" i="25"/>
  <c r="T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Z15" i="25"/>
  <c r="S15" i="25"/>
  <c r="Z14" i="25"/>
  <c r="S14" i="25"/>
  <c r="Z13" i="25"/>
  <c r="S13" i="25"/>
  <c r="Z12" i="25"/>
  <c r="S12" i="25"/>
  <c r="Z11" i="25"/>
  <c r="S11" i="25"/>
  <c r="Z10" i="25"/>
  <c r="S10" i="25"/>
  <c r="Z9" i="25"/>
  <c r="S9" i="25"/>
  <c r="Z8" i="25"/>
  <c r="S8" i="25"/>
  <c r="Z7" i="25"/>
  <c r="S7" i="25"/>
  <c r="S6" i="25"/>
  <c r="S5" i="25"/>
  <c r="S4" i="25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M18" i="24"/>
  <c r="L18" i="24"/>
  <c r="K18" i="24"/>
  <c r="J18" i="24"/>
  <c r="I18" i="24"/>
  <c r="H18" i="24"/>
  <c r="G18" i="24"/>
  <c r="F18" i="24"/>
  <c r="E18" i="24"/>
  <c r="D18" i="24"/>
  <c r="B18" i="24"/>
  <c r="AB23" i="1"/>
  <c r="AA23" i="1"/>
  <c r="Z23" i="1"/>
  <c r="Y23" i="1"/>
  <c r="X23" i="1"/>
  <c r="W23" i="1"/>
  <c r="V23" i="1"/>
  <c r="U23" i="1"/>
  <c r="T23" i="1"/>
  <c r="R23" i="1"/>
  <c r="Q23" i="1"/>
  <c r="P23" i="1"/>
  <c r="O23" i="1"/>
  <c r="N23" i="1"/>
  <c r="M23" i="1"/>
  <c r="K23" i="1"/>
  <c r="J23" i="1"/>
  <c r="I23" i="1"/>
  <c r="H23" i="1"/>
  <c r="G23" i="1"/>
  <c r="F23" i="1"/>
  <c r="E23" i="1"/>
  <c r="D23" i="1"/>
  <c r="C23" i="1"/>
  <c r="S18" i="1"/>
  <c r="S17" i="1"/>
  <c r="S16" i="1"/>
  <c r="S15" i="1"/>
  <c r="S14" i="1"/>
  <c r="S13" i="1"/>
  <c r="S12" i="1"/>
  <c r="S11" i="1"/>
  <c r="S10" i="1"/>
  <c r="S9" i="1"/>
  <c r="S8" i="1"/>
  <c r="Z23" i="21"/>
  <c r="Y23" i="21"/>
  <c r="X23" i="21"/>
  <c r="W23" i="21"/>
  <c r="V23" i="21"/>
  <c r="U23" i="21"/>
  <c r="T23" i="21"/>
  <c r="S23" i="21"/>
  <c r="R23" i="21"/>
  <c r="Q23" i="21"/>
  <c r="P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Z23" i="20"/>
  <c r="Y23" i="20"/>
  <c r="X23" i="20"/>
  <c r="W23" i="20"/>
  <c r="V23" i="20"/>
  <c r="U23" i="20"/>
  <c r="T23" i="20"/>
  <c r="S23" i="20"/>
  <c r="R23" i="20"/>
  <c r="Q23" i="20"/>
  <c r="P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Z23" i="19"/>
  <c r="Y23" i="19"/>
  <c r="X23" i="19"/>
  <c r="W23" i="19"/>
  <c r="V23" i="19"/>
  <c r="U23" i="19"/>
  <c r="T23" i="19"/>
  <c r="S23" i="19"/>
  <c r="R23" i="19"/>
  <c r="Q23" i="19"/>
  <c r="P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Z23" i="18"/>
  <c r="Y23" i="18"/>
  <c r="X23" i="18"/>
  <c r="W23" i="18"/>
  <c r="V23" i="18"/>
  <c r="U23" i="18"/>
  <c r="T23" i="18"/>
  <c r="S23" i="18"/>
  <c r="R23" i="18"/>
  <c r="P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Q18" i="18"/>
  <c r="Q17" i="18"/>
  <c r="Q16" i="18"/>
  <c r="Q15" i="18"/>
  <c r="Q14" i="18"/>
  <c r="Q13" i="18"/>
  <c r="Q12" i="18"/>
  <c r="Q11" i="18"/>
  <c r="Q23" i="18" s="1"/>
  <c r="Z23" i="17"/>
  <c r="Y23" i="17"/>
  <c r="X23" i="17"/>
  <c r="W23" i="17"/>
  <c r="V23" i="17"/>
  <c r="U23" i="17"/>
  <c r="T23" i="17"/>
  <c r="S23" i="17"/>
  <c r="R23" i="17"/>
  <c r="Q23" i="17"/>
  <c r="P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Z23" i="15"/>
  <c r="Y23" i="15"/>
  <c r="W23" i="15"/>
  <c r="V23" i="15"/>
  <c r="U23" i="15"/>
  <c r="T23" i="15"/>
  <c r="S23" i="15"/>
  <c r="R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Q19" i="15"/>
  <c r="O23" i="15" s="1"/>
  <c r="X18" i="15"/>
  <c r="Q18" i="15"/>
  <c r="X17" i="15"/>
  <c r="Q17" i="15"/>
  <c r="X16" i="15"/>
  <c r="Q16" i="15"/>
  <c r="X15" i="15"/>
  <c r="Q15" i="15"/>
  <c r="X14" i="15"/>
  <c r="Q14" i="15"/>
  <c r="X13" i="15"/>
  <c r="Q13" i="15"/>
  <c r="X12" i="15"/>
  <c r="Q12" i="15"/>
  <c r="X11" i="15"/>
  <c r="Q11" i="15"/>
  <c r="X10" i="15"/>
  <c r="Q10" i="15"/>
  <c r="Q9" i="15"/>
  <c r="Q8" i="15"/>
  <c r="Z23" i="14"/>
  <c r="Y23" i="14"/>
  <c r="W23" i="14"/>
  <c r="V23" i="14"/>
  <c r="U23" i="14"/>
  <c r="T23" i="14"/>
  <c r="S23" i="14"/>
  <c r="R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X18" i="14"/>
  <c r="Q18" i="14"/>
  <c r="X17" i="14"/>
  <c r="Q17" i="14"/>
  <c r="X16" i="14"/>
  <c r="Q16" i="14"/>
  <c r="X15" i="14"/>
  <c r="Q15" i="14"/>
  <c r="X14" i="14"/>
  <c r="Q14" i="14"/>
  <c r="X13" i="14"/>
  <c r="Q13" i="14"/>
  <c r="X12" i="14"/>
  <c r="Q12" i="14"/>
  <c r="X11" i="14"/>
  <c r="Q11" i="14"/>
  <c r="X10" i="14"/>
  <c r="Q10" i="14"/>
  <c r="X9" i="14"/>
  <c r="Q9" i="14"/>
  <c r="X8" i="14"/>
  <c r="Q8" i="14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Z23" i="11"/>
  <c r="Y23" i="11"/>
  <c r="X23" i="11"/>
  <c r="W23" i="11"/>
  <c r="V23" i="11"/>
  <c r="U23" i="11"/>
  <c r="T23" i="11"/>
  <c r="S23" i="11"/>
  <c r="R23" i="11"/>
  <c r="Q23" i="11"/>
  <c r="P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3" i="10"/>
  <c r="Y23" i="10"/>
  <c r="X23" i="10"/>
  <c r="W23" i="10"/>
  <c r="V23" i="10"/>
  <c r="U23" i="10"/>
  <c r="T23" i="10"/>
  <c r="S23" i="10"/>
  <c r="R23" i="10"/>
  <c r="Q23" i="10"/>
  <c r="P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Z23" i="9"/>
  <c r="Y23" i="9"/>
  <c r="X23" i="9"/>
  <c r="W23" i="9"/>
  <c r="V23" i="9"/>
  <c r="U23" i="9"/>
  <c r="T23" i="9"/>
  <c r="S23" i="9"/>
  <c r="R23" i="9"/>
  <c r="Q23" i="9"/>
  <c r="P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Z23" i="8"/>
  <c r="Y23" i="8"/>
  <c r="X23" i="8"/>
  <c r="W23" i="8"/>
  <c r="V23" i="8"/>
  <c r="U23" i="8"/>
  <c r="T23" i="8"/>
  <c r="S23" i="8"/>
  <c r="R23" i="8"/>
  <c r="Q23" i="8"/>
  <c r="P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Z23" i="7"/>
  <c r="Y23" i="7"/>
  <c r="X23" i="7"/>
  <c r="W23" i="7"/>
  <c r="V23" i="7"/>
  <c r="U23" i="7"/>
  <c r="T23" i="7"/>
  <c r="S23" i="7"/>
  <c r="R23" i="7"/>
  <c r="Q23" i="7"/>
  <c r="P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Z23" i="5"/>
  <c r="Y23" i="5"/>
  <c r="X23" i="5"/>
  <c r="W23" i="5"/>
  <c r="V23" i="5"/>
  <c r="U23" i="5"/>
  <c r="T23" i="5"/>
  <c r="S23" i="5"/>
  <c r="R23" i="5"/>
  <c r="Q23" i="5"/>
  <c r="P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Z23" i="4"/>
  <c r="Y23" i="4"/>
  <c r="X23" i="4"/>
  <c r="W23" i="4"/>
  <c r="V23" i="4"/>
  <c r="U23" i="4"/>
  <c r="T23" i="4"/>
  <c r="S23" i="4"/>
  <c r="R23" i="4"/>
  <c r="Q23" i="4"/>
  <c r="P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Z23" i="3"/>
  <c r="Y23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Z23" i="2"/>
  <c r="Y23" i="2"/>
  <c r="X23" i="2"/>
  <c r="W23" i="2"/>
  <c r="V23" i="2"/>
  <c r="U23" i="2"/>
  <c r="T23" i="2"/>
  <c r="S23" i="2"/>
  <c r="R23" i="2"/>
  <c r="Q23" i="2"/>
  <c r="P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3" i="15" l="1"/>
  <c r="S23" i="1"/>
  <c r="X23" i="15"/>
  <c r="X23" i="14"/>
  <c r="Q23" i="14"/>
  <c r="Z17" i="25"/>
  <c r="S17" i="25"/>
  <c r="C23" i="26" l="1"/>
  <c r="C18" i="24"/>
</calcChain>
</file>

<file path=xl/comments1.xml><?xml version="1.0" encoding="utf-8"?>
<comments xmlns="http://schemas.openxmlformats.org/spreadsheetml/2006/main">
  <authors>
    <author>Ajit Muduli</author>
  </authors>
  <commentList>
    <comment ref="P6" authorId="0" shapeId="0">
      <text>
        <r>
          <rPr>
            <b/>
            <sz val="9"/>
            <color indexed="81"/>
            <rFont val="Tahoma"/>
            <family val="2"/>
          </rPr>
          <t>Ajit Muduli: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Thakur Roshan Singh</author>
  </authors>
  <commentList>
    <comment ref="Q6" authorId="0" shapeId="0">
      <text>
        <r>
          <rPr>
            <b/>
            <sz val="9"/>
            <color indexed="81"/>
            <rFont val="Tahoma"/>
            <family val="2"/>
          </rPr>
          <t>Thakur Roshan Singh: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<sst xmlns="http://schemas.openxmlformats.org/spreadsheetml/2006/main" count="1369" uniqueCount="153">
  <si>
    <t>CSE- Aishwarya ANNUAL PERFORMANCE INFO (01-08-2024 to 31-07-2025)</t>
  </si>
  <si>
    <t>MONTH</t>
  </si>
  <si>
    <t>Target</t>
  </si>
  <si>
    <t>PROJECT DEVELOPMENTS</t>
  </si>
  <si>
    <t>JOURNALS</t>
  </si>
  <si>
    <t>PLAG DOC</t>
  </si>
  <si>
    <t>DOCUMENT WORKS</t>
  </si>
  <si>
    <t>FULL SUP</t>
  </si>
  <si>
    <t>Support</t>
  </si>
  <si>
    <t xml:space="preserve">deliveries  </t>
  </si>
  <si>
    <t>Review's</t>
  </si>
  <si>
    <t xml:space="preserve">Permissions </t>
  </si>
  <si>
    <t>leaves</t>
  </si>
  <si>
    <t>TOTAL</t>
  </si>
  <si>
    <t>BP</t>
  </si>
  <si>
    <t>GP</t>
  </si>
  <si>
    <t>Ext</t>
  </si>
  <si>
    <t>J-UGC</t>
  </si>
  <si>
    <t>J-NON UGC</t>
  </si>
  <si>
    <t>PLAG-DOC (PLAG-CHE)</t>
  </si>
  <si>
    <t>PLAG-DOC (TURNITIN)</t>
  </si>
  <si>
    <t>PHD-doc WORKS</t>
  </si>
  <si>
    <t>ABSTRACTS</t>
  </si>
  <si>
    <t>PPT's</t>
  </si>
  <si>
    <t>VIDEO's</t>
  </si>
  <si>
    <t>ROUGH DOC</t>
  </si>
  <si>
    <t>Total</t>
  </si>
  <si>
    <t xml:space="preserve">inventory </t>
  </si>
  <si>
    <t>semi inventory</t>
  </si>
  <si>
    <t>new developments</t>
  </si>
  <si>
    <t>Google</t>
  </si>
  <si>
    <t>Oral</t>
  </si>
  <si>
    <t>Google/Oral</t>
  </si>
  <si>
    <t>2hours</t>
  </si>
  <si>
    <t>1hour30min</t>
  </si>
  <si>
    <t>SCI(2)</t>
  </si>
  <si>
    <t>montly target</t>
  </si>
  <si>
    <t xml:space="preserve">season target </t>
  </si>
  <si>
    <t xml:space="preserve">season achieved </t>
  </si>
  <si>
    <t xml:space="preserve">bussiness projects </t>
  </si>
  <si>
    <t xml:space="preserve">growth project </t>
  </si>
  <si>
    <t xml:space="preserve">Extensions </t>
  </si>
  <si>
    <t xml:space="preserve">ugc journals </t>
  </si>
  <si>
    <t>plag doc</t>
  </si>
  <si>
    <t>Others</t>
  </si>
  <si>
    <t>Ph.D Document Works</t>
  </si>
  <si>
    <t>DEL</t>
  </si>
  <si>
    <t>Full Support</t>
  </si>
  <si>
    <t>Supports</t>
  </si>
  <si>
    <t>Reviews</t>
  </si>
  <si>
    <t>Attendance</t>
  </si>
  <si>
    <t>Keywords</t>
  </si>
  <si>
    <t>New.Dev</t>
  </si>
  <si>
    <t>Semi-Inv</t>
  </si>
  <si>
    <t>Inv</t>
  </si>
  <si>
    <t>Google Form</t>
  </si>
  <si>
    <t xml:space="preserve"> Google/Oral</t>
  </si>
  <si>
    <t>Leaves</t>
  </si>
  <si>
    <t>Permissions</t>
  </si>
  <si>
    <t>CSE - Arjun(ID: 1033)-ANNUAL PERFORMANCE INFO (01-08-2024 to 01-07-2025)</t>
  </si>
  <si>
    <t>target (4)</t>
  </si>
  <si>
    <t>CSE - ARUN(ID: 0877)-ANNUAL PERFORMANCE INFO (01-08-2024 to 01-07-2025)</t>
  </si>
  <si>
    <t>CSE - ASAD(ID: 0860)-ANNUAL PERFORMANCE INFO (01-08-2024 to 01-07-2025)</t>
  </si>
  <si>
    <t>Full supports</t>
  </si>
  <si>
    <t>30 min</t>
  </si>
  <si>
    <t>1 HR</t>
  </si>
  <si>
    <t>45 min</t>
  </si>
  <si>
    <t>2 HR</t>
  </si>
  <si>
    <t>1.5 HR</t>
  </si>
  <si>
    <t>CSE - BALAJI(ID: 1052)-ANNUAL PERFORMANCE INFO (11-03-2025 to 01-07-2025)</t>
  </si>
  <si>
    <t>Full Supports</t>
  </si>
  <si>
    <t>CSE- BHUVANA ANNUAL PERFORMANCE INFO (01-08-2024 to 31-07-2025)</t>
  </si>
  <si>
    <t>1hour 15min</t>
  </si>
  <si>
    <t>1hour</t>
  </si>
  <si>
    <t xml:space="preserve">This month I worked on 6 dev , prepared 19 ppt,18 journals,1-semi inventory,12 modifications,5 -student format journals,1-doc turnitin,23-Execution and explanation,17-supports. </t>
  </si>
  <si>
    <t>I have been conducting machine learning classes for a trainee  was assigned in June</t>
  </si>
  <si>
    <t>CSE - CHARAN(ID: 0578)-ANNUAL PERFORMANCE INFO (01-08-2024 to 01-07-2025)</t>
  </si>
  <si>
    <t xml:space="preserve">Full Supports </t>
  </si>
  <si>
    <t>30MIN</t>
  </si>
  <si>
    <t>2 HRS</t>
  </si>
  <si>
    <t>2hrs</t>
  </si>
  <si>
    <t>CSE - HARIPRASATH S(ID:0972)-ANNUAL PERFORMANCE INFO (01-08-2024 to 01-07-2025)</t>
  </si>
  <si>
    <t>Full sup</t>
  </si>
  <si>
    <t>CSE - HARISH(ID: 0983)-ANNUAL PERFORMANCE INFO (01-08-2024 to 01-07-2025)</t>
  </si>
  <si>
    <t>FULL SUPPORT</t>
  </si>
  <si>
    <t>1 Hour</t>
  </si>
  <si>
    <t>1.5 HOUR</t>
  </si>
  <si>
    <t>0.5 HOUR</t>
  </si>
  <si>
    <t>1 hour</t>
  </si>
  <si>
    <t>CSE - KAVYA(ID: 1092)-ANNUAL PERFORMANCE INFO (13-03-2025 to 01-07-2025)</t>
  </si>
  <si>
    <t>full supports</t>
  </si>
  <si>
    <t>2HRS</t>
  </si>
  <si>
    <t>CSE - LALITH(ID: 0837)-ANNUAL PERFORMANCE INFO (01-08-2024 to 01-07-2025)</t>
  </si>
  <si>
    <t>2 HOUR</t>
  </si>
  <si>
    <t>CSE - PURUSHOTHAM (ID: 1039)-ANNUAL PERFORMANCE INFO (01-08-2024 to 01-07-2025)</t>
  </si>
  <si>
    <t>FULL Support</t>
  </si>
  <si>
    <t>1.5 hr</t>
  </si>
  <si>
    <t>CSE - RAKESH(ID: 1020)-ANNUAL PERFORMANCE INFO (28-12-2024 to 01-07-2025)</t>
  </si>
  <si>
    <t>CSE - RAVEENDRA(ID: 085)-ANNUAL PERFORMANCE INFO (01-08-2024 to 01-07-2025)</t>
  </si>
  <si>
    <t>full suppots</t>
  </si>
  <si>
    <t>CSE - Roshan(ID: 0927)-ANNUAL PERFORMANCE INFO (01-08-2024 to 01-07-2025)</t>
  </si>
  <si>
    <t>Full Executions</t>
  </si>
  <si>
    <t>1.5 hours</t>
  </si>
  <si>
    <t>30 minutes</t>
  </si>
  <si>
    <t>2 hours</t>
  </si>
  <si>
    <t>CSE - ROSHNI(ID: 0899)-ANNUAL PERFORMANCE INFO (01-08-2024 to 01-07-2025)</t>
  </si>
  <si>
    <t>CSE - SAMPATH (ID: 0986)-ANNUAL PERFORMANCE INFO (01-08-2024 to 01-07-2025)</t>
  </si>
  <si>
    <t>CSE - SHARIFF(ID: 1005)-ANNUAL PERFORMANCE INFO (01-08-2024 to 01-07-2025)</t>
  </si>
  <si>
    <t xml:space="preserve">target </t>
  </si>
  <si>
    <t>CSE - SHIVA(ID: 0879)-ANNUAL PERFORMANCE INFO (01-08-2024 to 01-07-2025)</t>
  </si>
  <si>
    <t>CSE - SRINIVASULU(ID:YMTSIN- 093)-ANNUAL PERFORMANCE INFO (09-04-2025 to 01-07-2025)</t>
  </si>
  <si>
    <t>2 hour</t>
  </si>
  <si>
    <t>CSE - V.VINAY(ID: 0805)-ANNUAL PERFORMANCE INFO (01-08-2024 to 01-07-2025)</t>
  </si>
  <si>
    <t>CSE - B Vishnu (ID: 0814)-ANNUAL PERFORMANCE INFO (01-08-2024 to 01-07-2025)</t>
  </si>
  <si>
    <t>2 hr</t>
  </si>
  <si>
    <t>1 Hr</t>
  </si>
  <si>
    <t>CSE - Yashas Gupta (ID: 0945)-ANNUAL PERFORMANCE INFO (01-08-2024 to 01-07-2025)</t>
  </si>
  <si>
    <t xml:space="preserve"> Support</t>
  </si>
  <si>
    <t>OTHER WORKS</t>
  </si>
  <si>
    <t>-</t>
  </si>
  <si>
    <t>2 Days Pace college for Tableu workshop</t>
  </si>
  <si>
    <t>4 Days Pace collage Tableau workshop</t>
  </si>
  <si>
    <t xml:space="preserve">Extra 6 frontend and 11 Backend done. </t>
  </si>
  <si>
    <t>Aishwarya--22 Possibilities checked for the growth projects and given 3 PHD proposals and took more than 10 interviews selected 1.</t>
  </si>
  <si>
    <t xml:space="preserve">Aishwarya:
 Mid-semester work is done, and about 70% of the code has been prepared for the following projects:
• TK188753 – Deep Learning-based Automated Detection System for Diagnosing Glaucoma Disease
• TK190645 – Speech Emotion Recognition
• TK193278 – Two-Stage Job Title Identification System for Online Job Advertisements
For the below project, all models are trained except DeepSeekV3 due to memory issues. We are currently working to resolve this:
• TK188783 – Enhancing Detection of Misleading Visualizations Using DeepSeek Models
TK179013: Completed the Ph.D. project phases, but we are still waiting for the student to share the Scopus-paper format. Due to this, we have not counted the project yet.
</t>
  </si>
  <si>
    <t>I joined on feb -13 and started my training period in this month I have worked document . I created 3 document and 3 ppts and learning new things</t>
  </si>
  <si>
    <t>This month also I am in taining periods in this period I was learning about how to developed project and worked on 2-journals, 4-abstracts, 54-ppts and 37-documents</t>
  </si>
  <si>
    <t>this month also I am in taining periods in this period I was developed one application project and worked on create 18-journals, 6-abstracts,19-ppts, 40-documents and 1 delivered and gave 5 full-supports.</t>
  </si>
  <si>
    <t>This month I developed 2-projects and create 2-journals, 3-abstract,3-documents, 3-ppts also gave 5 full supports.</t>
  </si>
  <si>
    <t xml:space="preserve">This month I developed 3-projects and gave 6 full supports and 2 supports and get 3 reviews also </t>
  </si>
  <si>
    <t xml:space="preserve">                              CSE - AJITH(ID: 1045)-ANNUAL PERFORMANCE INFO (01-02-2024 to 01-07-2025)</t>
  </si>
  <si>
    <t>CSE - Pavan(ID: 0578)-ANNUAL PERFORMANCE INFO (01-08-2024 to 01-07-2025)</t>
  </si>
  <si>
    <t>Execution</t>
  </si>
  <si>
    <t>CSE - TUFAIL(ID: 1011)-ANNUAL PERFORMANCE INFO (01-08-2024 to 01-07-2025)</t>
  </si>
  <si>
    <t>Other Works</t>
  </si>
  <si>
    <t>Took Leave due to Grandfather Death</t>
  </si>
  <si>
    <t>Target (4)</t>
  </si>
  <si>
    <t>from june till July WFH</t>
  </si>
  <si>
    <t>july end took leave so 3 achived as per target</t>
  </si>
  <si>
    <t>relieved in july month</t>
  </si>
  <si>
    <t>untill half july month is on leave later I started working in growth and 1 semi-inv</t>
  </si>
  <si>
    <t>went to pace college workshop</t>
  </si>
  <si>
    <t>1hr10min</t>
  </si>
  <si>
    <t>joined from 3rd july</t>
  </si>
  <si>
    <t>WFH</t>
  </si>
  <si>
    <t xml:space="preserve">journals </t>
  </si>
  <si>
    <t xml:space="preserve"> journals </t>
  </si>
  <si>
    <t>CSE - VENGABABU(ID:YMTSIN- )-ANNUAL PERFORMANCE INFO (09-04-2025 to 01-07-2025)</t>
  </si>
  <si>
    <t>target</t>
  </si>
  <si>
    <t>CSE - SHIVAM(ID:YMTSIN- )-ANNUAL PERFORMANCE INFO (09-04-2025 to 01-07-2025)</t>
  </si>
  <si>
    <t>CSE - PALLAVI(ID:YMTSIN- )-ANNUAL PERFORMANCE INFO (09-04-2025 to 01-07-2025)</t>
  </si>
  <si>
    <t>CSE - MUGESH(ID:YMTSIN- )-ANNUAL PERFORMANCE INFO (09-04-2025 to 01-07-2025)</t>
  </si>
  <si>
    <t>CSE - SAI PRASANTH(ID:YMTSIN-1108 )-ANNUAL PERFORMANCE INFO (09-04-2025 to 01-07-2025)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</si>
</sst>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6.5"/>
      <color theme="1"/>
      <name val="Segoe UI Variable Small Semilig"/>
    </font>
    <font>
      <sz val="11"/>
      <color rgb="FF000000"/>
      <name val="Calibri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 wrapText="1"/>
    </xf>
    <xf numFmtId="17" fontId="1" fillId="0" borderId="1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17" fontId="0" fillId="0" borderId="14" xfId="0" applyNumberFormat="1" applyBorder="1"/>
    <xf numFmtId="0" fontId="0" fillId="4" borderId="14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/>
    <xf numFmtId="0" fontId="1" fillId="3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17" fontId="7" fillId="0" borderId="1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2" xfId="0" applyBorder="1"/>
    <xf numFmtId="0" fontId="0" fillId="0" borderId="16" xfId="0" applyBorder="1"/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7" fillId="0" borderId="1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0" xfId="0" applyFill="1"/>
    <xf numFmtId="0" fontId="7" fillId="3" borderId="1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3" borderId="0" xfId="0" applyFill="1"/>
    <xf numFmtId="0" fontId="1" fillId="3" borderId="8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" fontId="1" fillId="0" borderId="9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" fontId="0" fillId="5" borderId="14" xfId="0" applyNumberFormat="1" applyFill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5" fillId="0" borderId="14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3" xfId="0" applyBorder="1"/>
    <xf numFmtId="0" fontId="0" fillId="0" borderId="14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3" borderId="15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1"/>
  <sheetViews>
    <sheetView topLeftCell="A4" workbookViewId="0">
      <selection activeCell="J18" sqref="J18"/>
    </sheetView>
  </sheetViews>
  <sheetFormatPr defaultRowHeight="15" x14ac:dyDescent="0.25"/>
  <cols>
    <col min="13" max="13" width="11" bestFit="1" customWidth="1"/>
    <col min="27" max="27" width="11.7109375" bestFit="1" customWidth="1"/>
    <col min="29" max="29" width="76.42578125" customWidth="1"/>
  </cols>
  <sheetData>
    <row r="1" spans="2:29" ht="15" customHeight="1" x14ac:dyDescent="0.25">
      <c r="B1" s="131" t="s">
        <v>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3"/>
    </row>
    <row r="2" spans="2:29" ht="15" customHeight="1" x14ac:dyDescent="0.25"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6"/>
    </row>
    <row r="3" spans="2:29" ht="15" customHeight="1" x14ac:dyDescent="0.25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6"/>
    </row>
    <row r="4" spans="2:29" ht="15.75" customHeight="1" thickBot="1" x14ac:dyDescent="0.3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9"/>
    </row>
    <row r="5" spans="2:29" ht="15.75" thickBot="1" x14ac:dyDescent="0.3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2"/>
    </row>
    <row r="6" spans="2:29" ht="15.75" thickBot="1" x14ac:dyDescent="0.3">
      <c r="B6" s="143" t="s">
        <v>1</v>
      </c>
      <c r="C6" s="145" t="s">
        <v>2</v>
      </c>
      <c r="D6" s="1"/>
      <c r="E6" s="147" t="s">
        <v>3</v>
      </c>
      <c r="F6" s="148"/>
      <c r="G6" s="149"/>
      <c r="H6" s="150" t="s">
        <v>4</v>
      </c>
      <c r="I6" s="151"/>
      <c r="J6" s="150" t="s">
        <v>5</v>
      </c>
      <c r="K6" s="151"/>
      <c r="L6" s="25"/>
      <c r="M6" s="150" t="s">
        <v>6</v>
      </c>
      <c r="N6" s="152"/>
      <c r="O6" s="152"/>
      <c r="P6" s="151"/>
      <c r="Q6" s="145" t="s">
        <v>7</v>
      </c>
      <c r="R6" s="153" t="s">
        <v>8</v>
      </c>
      <c r="S6" s="150" t="s">
        <v>9</v>
      </c>
      <c r="T6" s="152"/>
      <c r="U6" s="152"/>
      <c r="V6" s="151"/>
      <c r="W6" s="150" t="s">
        <v>10</v>
      </c>
      <c r="X6" s="152"/>
      <c r="Y6" s="152"/>
      <c r="Z6" s="151"/>
      <c r="AA6" s="145" t="s">
        <v>11</v>
      </c>
      <c r="AB6" s="145" t="s">
        <v>12</v>
      </c>
      <c r="AC6" s="145" t="s">
        <v>118</v>
      </c>
    </row>
    <row r="7" spans="2:29" ht="60.75" thickBot="1" x14ac:dyDescent="0.3">
      <c r="B7" s="144"/>
      <c r="C7" s="146"/>
      <c r="D7" s="114" t="s">
        <v>13</v>
      </c>
      <c r="E7" s="112" t="s">
        <v>14</v>
      </c>
      <c r="F7" s="112" t="s">
        <v>15</v>
      </c>
      <c r="G7" s="113" t="s">
        <v>16</v>
      </c>
      <c r="H7" s="5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4" t="s">
        <v>22</v>
      </c>
      <c r="N7" s="6" t="s">
        <v>23</v>
      </c>
      <c r="O7" s="4" t="s">
        <v>24</v>
      </c>
      <c r="P7" s="24" t="s">
        <v>25</v>
      </c>
      <c r="Q7" s="146"/>
      <c r="R7" s="154"/>
      <c r="S7" s="109" t="s">
        <v>26</v>
      </c>
      <c r="T7" s="108" t="s">
        <v>27</v>
      </c>
      <c r="U7" s="108" t="s">
        <v>28</v>
      </c>
      <c r="V7" s="108" t="s">
        <v>29</v>
      </c>
      <c r="W7" s="110" t="s">
        <v>30</v>
      </c>
      <c r="X7" s="110" t="s">
        <v>31</v>
      </c>
      <c r="Y7" s="110" t="s">
        <v>32</v>
      </c>
      <c r="Z7" s="110" t="s">
        <v>26</v>
      </c>
      <c r="AA7" s="146"/>
      <c r="AB7" s="146"/>
      <c r="AC7" s="155"/>
    </row>
    <row r="8" spans="2:29" ht="15.75" customHeight="1" thickBot="1" x14ac:dyDescent="0.3">
      <c r="B8" s="8">
        <v>45505</v>
      </c>
      <c r="C8" s="27">
        <v>5</v>
      </c>
      <c r="D8" s="27">
        <v>7.5</v>
      </c>
      <c r="E8" s="27">
        <v>4</v>
      </c>
      <c r="F8" s="28">
        <v>1</v>
      </c>
      <c r="G8" s="27">
        <v>3</v>
      </c>
      <c r="H8" s="28">
        <v>0</v>
      </c>
      <c r="I8" s="27">
        <v>0</v>
      </c>
      <c r="J8" s="28">
        <v>0</v>
      </c>
      <c r="K8" s="27">
        <v>1</v>
      </c>
      <c r="L8" s="27">
        <v>0</v>
      </c>
      <c r="M8" s="27">
        <v>2</v>
      </c>
      <c r="N8" s="27">
        <v>3</v>
      </c>
      <c r="O8" s="10">
        <v>0</v>
      </c>
      <c r="P8" s="27">
        <v>3</v>
      </c>
      <c r="Q8" s="27">
        <v>3</v>
      </c>
      <c r="R8" s="27">
        <v>33</v>
      </c>
      <c r="S8" s="28">
        <f>SUM(T8+U8+V8)</f>
        <v>14</v>
      </c>
      <c r="T8" s="27">
        <v>9</v>
      </c>
      <c r="U8" s="27">
        <v>2</v>
      </c>
      <c r="V8" s="27">
        <v>3</v>
      </c>
      <c r="W8" s="38">
        <v>3</v>
      </c>
      <c r="X8" s="11">
        <v>0</v>
      </c>
      <c r="Y8" s="11">
        <v>0</v>
      </c>
      <c r="Z8" s="38">
        <v>3</v>
      </c>
      <c r="AA8" s="12" t="s">
        <v>33</v>
      </c>
      <c r="AB8" s="26">
        <v>0.5</v>
      </c>
      <c r="AC8" s="39" t="s">
        <v>119</v>
      </c>
    </row>
    <row r="9" spans="2:29" ht="19.5" thickBot="1" x14ac:dyDescent="0.3">
      <c r="B9" s="8">
        <v>45536</v>
      </c>
      <c r="C9" s="27">
        <v>6</v>
      </c>
      <c r="D9" s="27">
        <v>9.5</v>
      </c>
      <c r="E9" s="27">
        <v>5</v>
      </c>
      <c r="F9" s="28">
        <v>1</v>
      </c>
      <c r="G9" s="27">
        <v>1</v>
      </c>
      <c r="H9" s="28">
        <v>0</v>
      </c>
      <c r="I9" s="27">
        <v>0</v>
      </c>
      <c r="J9" s="28">
        <v>0</v>
      </c>
      <c r="K9" s="27">
        <v>3</v>
      </c>
      <c r="L9" s="27">
        <v>0</v>
      </c>
      <c r="M9" s="27">
        <v>0</v>
      </c>
      <c r="N9" s="27">
        <v>0</v>
      </c>
      <c r="O9" s="13">
        <v>0</v>
      </c>
      <c r="P9" s="27">
        <v>0</v>
      </c>
      <c r="Q9" s="27">
        <v>5</v>
      </c>
      <c r="R9" s="27">
        <v>17</v>
      </c>
      <c r="S9" s="28">
        <f t="shared" ref="S9:S18" si="0">SUM(T9+U9+V9)</f>
        <v>12</v>
      </c>
      <c r="T9" s="27">
        <v>6</v>
      </c>
      <c r="U9" s="27">
        <v>2</v>
      </c>
      <c r="V9" s="27">
        <v>4</v>
      </c>
      <c r="W9" s="27">
        <v>3</v>
      </c>
      <c r="X9" s="11">
        <v>0</v>
      </c>
      <c r="Y9" s="11">
        <v>0</v>
      </c>
      <c r="Z9" s="27">
        <v>3</v>
      </c>
      <c r="AA9" s="12">
        <v>0</v>
      </c>
      <c r="AB9" s="26">
        <v>0</v>
      </c>
      <c r="AC9" s="39" t="s">
        <v>119</v>
      </c>
    </row>
    <row r="10" spans="2:29" ht="19.5" thickBot="1" x14ac:dyDescent="0.3">
      <c r="B10" s="8">
        <v>45566</v>
      </c>
      <c r="C10" s="27">
        <v>5</v>
      </c>
      <c r="D10" s="27">
        <v>8.5</v>
      </c>
      <c r="E10" s="27">
        <v>4.5</v>
      </c>
      <c r="F10" s="28">
        <v>0</v>
      </c>
      <c r="G10" s="27">
        <v>3</v>
      </c>
      <c r="H10" s="28">
        <v>3</v>
      </c>
      <c r="I10" s="27">
        <v>0</v>
      </c>
      <c r="J10" s="28">
        <v>0</v>
      </c>
      <c r="K10" s="27">
        <v>1</v>
      </c>
      <c r="L10" s="27">
        <v>1</v>
      </c>
      <c r="M10" s="27">
        <v>0</v>
      </c>
      <c r="N10" s="27">
        <v>0</v>
      </c>
      <c r="O10" s="13">
        <v>0</v>
      </c>
      <c r="P10" s="27">
        <v>0</v>
      </c>
      <c r="Q10" s="27">
        <v>6</v>
      </c>
      <c r="R10" s="27">
        <v>29</v>
      </c>
      <c r="S10" s="28">
        <f t="shared" si="0"/>
        <v>19</v>
      </c>
      <c r="T10" s="27">
        <v>7</v>
      </c>
      <c r="U10" s="27">
        <v>4</v>
      </c>
      <c r="V10" s="27">
        <v>8</v>
      </c>
      <c r="W10" s="27">
        <v>6</v>
      </c>
      <c r="X10" s="11">
        <v>0</v>
      </c>
      <c r="Y10" s="11">
        <v>0</v>
      </c>
      <c r="Z10" s="27">
        <v>6</v>
      </c>
      <c r="AA10" s="12">
        <v>0</v>
      </c>
      <c r="AB10" s="26">
        <v>0</v>
      </c>
      <c r="AC10" s="39" t="s">
        <v>119</v>
      </c>
    </row>
    <row r="11" spans="2:29" ht="19.5" thickBot="1" x14ac:dyDescent="0.3">
      <c r="B11" s="8">
        <v>45597</v>
      </c>
      <c r="C11" s="27">
        <v>6</v>
      </c>
      <c r="D11" s="27">
        <v>5.5</v>
      </c>
      <c r="E11" s="27">
        <v>2.5</v>
      </c>
      <c r="F11" s="28">
        <v>0</v>
      </c>
      <c r="G11" s="27">
        <v>2</v>
      </c>
      <c r="H11" s="28">
        <v>2</v>
      </c>
      <c r="I11" s="27">
        <v>0</v>
      </c>
      <c r="J11" s="28">
        <v>0</v>
      </c>
      <c r="K11" s="27">
        <v>1</v>
      </c>
      <c r="L11" s="27">
        <v>0</v>
      </c>
      <c r="M11" s="27">
        <v>0</v>
      </c>
      <c r="N11" s="27">
        <v>0</v>
      </c>
      <c r="O11" s="13">
        <v>0</v>
      </c>
      <c r="P11" s="27">
        <v>0</v>
      </c>
      <c r="Q11" s="27">
        <v>2</v>
      </c>
      <c r="R11" s="27">
        <v>13</v>
      </c>
      <c r="S11" s="28">
        <f t="shared" si="0"/>
        <v>13</v>
      </c>
      <c r="T11" s="27">
        <v>3</v>
      </c>
      <c r="U11" s="27">
        <v>5</v>
      </c>
      <c r="V11" s="27">
        <v>5</v>
      </c>
      <c r="W11" s="27">
        <v>3</v>
      </c>
      <c r="X11" s="11">
        <v>0</v>
      </c>
      <c r="Y11" s="11">
        <v>0</v>
      </c>
      <c r="Z11" s="27">
        <v>3</v>
      </c>
      <c r="AA11" s="12">
        <v>0</v>
      </c>
      <c r="AB11" s="26">
        <v>2</v>
      </c>
      <c r="AC11" s="40" t="s">
        <v>119</v>
      </c>
    </row>
    <row r="12" spans="2:29" ht="19.5" thickBot="1" x14ac:dyDescent="0.3">
      <c r="B12" s="8">
        <v>45627</v>
      </c>
      <c r="C12" s="27">
        <v>5</v>
      </c>
      <c r="D12" s="27">
        <v>7</v>
      </c>
      <c r="E12" s="27">
        <v>6</v>
      </c>
      <c r="F12" s="28">
        <v>0</v>
      </c>
      <c r="G12" s="27">
        <v>1</v>
      </c>
      <c r="H12" s="28">
        <v>1</v>
      </c>
      <c r="I12" s="27">
        <v>0</v>
      </c>
      <c r="J12" s="28">
        <v>0</v>
      </c>
      <c r="K12" s="27">
        <v>0</v>
      </c>
      <c r="L12" s="27">
        <v>1</v>
      </c>
      <c r="M12" s="27">
        <v>0</v>
      </c>
      <c r="N12" s="27">
        <v>0</v>
      </c>
      <c r="O12" s="13">
        <v>0</v>
      </c>
      <c r="P12" s="27">
        <v>0</v>
      </c>
      <c r="Q12" s="27">
        <v>9</v>
      </c>
      <c r="R12" s="13">
        <v>27</v>
      </c>
      <c r="S12" s="28">
        <f t="shared" si="0"/>
        <v>15</v>
      </c>
      <c r="T12" s="27">
        <v>6</v>
      </c>
      <c r="U12" s="27">
        <v>6</v>
      </c>
      <c r="V12" s="27">
        <v>3</v>
      </c>
      <c r="W12" s="13">
        <v>2</v>
      </c>
      <c r="X12" s="11">
        <v>0</v>
      </c>
      <c r="Y12" s="11">
        <v>0</v>
      </c>
      <c r="Z12" s="13">
        <v>2</v>
      </c>
      <c r="AA12" s="12">
        <v>0</v>
      </c>
      <c r="AB12" s="26">
        <v>2</v>
      </c>
      <c r="AC12" s="39" t="s">
        <v>119</v>
      </c>
    </row>
    <row r="13" spans="2:29" ht="19.5" thickBot="1" x14ac:dyDescent="0.3">
      <c r="B13" s="8">
        <v>45658</v>
      </c>
      <c r="C13" s="27">
        <v>4</v>
      </c>
      <c r="D13" s="27">
        <v>8</v>
      </c>
      <c r="E13" s="27">
        <v>5</v>
      </c>
      <c r="F13" s="28">
        <v>0</v>
      </c>
      <c r="G13" s="27">
        <v>2</v>
      </c>
      <c r="H13" s="28">
        <v>4</v>
      </c>
      <c r="I13" s="27">
        <v>0</v>
      </c>
      <c r="J13" s="28">
        <v>0</v>
      </c>
      <c r="K13" s="27">
        <v>0</v>
      </c>
      <c r="L13" s="27">
        <v>0</v>
      </c>
      <c r="M13" s="27">
        <v>0</v>
      </c>
      <c r="N13" s="27">
        <v>0</v>
      </c>
      <c r="O13" s="13">
        <v>0</v>
      </c>
      <c r="P13" s="27">
        <v>0</v>
      </c>
      <c r="Q13" s="36">
        <v>7</v>
      </c>
      <c r="R13" s="37">
        <v>17</v>
      </c>
      <c r="S13" s="28">
        <f t="shared" si="0"/>
        <v>16</v>
      </c>
      <c r="T13" s="27">
        <v>8</v>
      </c>
      <c r="U13" s="27">
        <v>3</v>
      </c>
      <c r="V13" s="27">
        <v>5</v>
      </c>
      <c r="W13" s="37">
        <v>1</v>
      </c>
      <c r="X13" s="11">
        <v>0</v>
      </c>
      <c r="Y13" s="11">
        <v>0</v>
      </c>
      <c r="Z13" s="37">
        <v>1</v>
      </c>
      <c r="AA13" s="12">
        <v>0</v>
      </c>
      <c r="AB13" s="26">
        <v>0</v>
      </c>
      <c r="AC13" s="40"/>
    </row>
    <row r="14" spans="2:29" ht="15.75" thickBot="1" x14ac:dyDescent="0.3">
      <c r="B14" s="8">
        <v>45689</v>
      </c>
      <c r="C14" s="27">
        <v>3</v>
      </c>
      <c r="D14" s="27">
        <v>6</v>
      </c>
      <c r="E14" s="27">
        <v>4</v>
      </c>
      <c r="F14" s="27">
        <v>0</v>
      </c>
      <c r="G14" s="27">
        <v>2</v>
      </c>
      <c r="H14" s="27">
        <v>2</v>
      </c>
      <c r="I14" s="27">
        <v>0</v>
      </c>
      <c r="J14" s="28">
        <v>0</v>
      </c>
      <c r="K14" s="27">
        <v>0</v>
      </c>
      <c r="L14" s="27">
        <v>0</v>
      </c>
      <c r="M14" s="27">
        <v>0</v>
      </c>
      <c r="N14" s="27">
        <v>0</v>
      </c>
      <c r="O14" s="13">
        <v>0</v>
      </c>
      <c r="P14" s="27">
        <v>0</v>
      </c>
      <c r="Q14" s="27">
        <v>7</v>
      </c>
      <c r="R14" s="27">
        <v>26</v>
      </c>
      <c r="S14" s="28">
        <f t="shared" si="0"/>
        <v>15</v>
      </c>
      <c r="T14" s="27">
        <v>8</v>
      </c>
      <c r="U14" s="27">
        <v>1</v>
      </c>
      <c r="V14" s="27">
        <v>6</v>
      </c>
      <c r="W14" s="27">
        <v>1</v>
      </c>
      <c r="X14" s="11">
        <v>0</v>
      </c>
      <c r="Y14" s="11">
        <v>0</v>
      </c>
      <c r="Z14" s="27">
        <v>1</v>
      </c>
      <c r="AA14" s="12">
        <v>0</v>
      </c>
      <c r="AB14" s="10">
        <v>5</v>
      </c>
      <c r="AC14" s="59" t="s">
        <v>120</v>
      </c>
    </row>
    <row r="15" spans="2:29" ht="15.75" thickBot="1" x14ac:dyDescent="0.3">
      <c r="B15" s="8">
        <v>45717</v>
      </c>
      <c r="C15" s="27">
        <v>5</v>
      </c>
      <c r="D15" s="27">
        <v>11</v>
      </c>
      <c r="E15" s="29">
        <v>8</v>
      </c>
      <c r="F15" s="30">
        <v>0</v>
      </c>
      <c r="G15" s="31">
        <v>4</v>
      </c>
      <c r="H15" s="30">
        <v>2</v>
      </c>
      <c r="I15" s="27">
        <v>0</v>
      </c>
      <c r="J15" s="28">
        <v>0</v>
      </c>
      <c r="K15" s="31">
        <v>0</v>
      </c>
      <c r="L15" s="31">
        <v>0</v>
      </c>
      <c r="M15" s="27">
        <v>0</v>
      </c>
      <c r="N15" s="27">
        <v>0</v>
      </c>
      <c r="O15" s="13">
        <v>0</v>
      </c>
      <c r="P15" s="27">
        <v>0</v>
      </c>
      <c r="Q15" s="27">
        <v>15</v>
      </c>
      <c r="R15" s="27">
        <v>21</v>
      </c>
      <c r="S15" s="28">
        <f t="shared" si="0"/>
        <v>13</v>
      </c>
      <c r="T15" s="27">
        <v>2</v>
      </c>
      <c r="U15" s="27">
        <v>2</v>
      </c>
      <c r="V15" s="27">
        <v>9</v>
      </c>
      <c r="W15" s="27">
        <v>0</v>
      </c>
      <c r="X15" s="11">
        <v>0</v>
      </c>
      <c r="Y15" s="11">
        <v>0</v>
      </c>
      <c r="Z15" s="27">
        <v>0</v>
      </c>
      <c r="AA15" s="12">
        <v>0</v>
      </c>
      <c r="AB15" s="10">
        <v>0</v>
      </c>
      <c r="AC15" s="60" t="s">
        <v>121</v>
      </c>
    </row>
    <row r="16" spans="2:29" ht="15.75" thickBot="1" x14ac:dyDescent="0.3">
      <c r="B16" s="8">
        <v>45748</v>
      </c>
      <c r="C16" s="27">
        <v>6</v>
      </c>
      <c r="D16" s="27">
        <v>29</v>
      </c>
      <c r="E16" s="27">
        <v>13</v>
      </c>
      <c r="F16" s="27">
        <v>0</v>
      </c>
      <c r="G16" s="27">
        <v>17</v>
      </c>
      <c r="H16" s="27">
        <v>3</v>
      </c>
      <c r="I16" s="27">
        <v>15</v>
      </c>
      <c r="J16" s="28">
        <v>0</v>
      </c>
      <c r="K16" s="27">
        <v>1</v>
      </c>
      <c r="L16" s="27">
        <v>0</v>
      </c>
      <c r="M16" s="27">
        <v>8</v>
      </c>
      <c r="N16" s="27">
        <v>2</v>
      </c>
      <c r="O16" s="13">
        <v>0</v>
      </c>
      <c r="P16" s="27">
        <v>6</v>
      </c>
      <c r="Q16" s="27">
        <v>38</v>
      </c>
      <c r="R16" s="27">
        <v>3</v>
      </c>
      <c r="S16" s="28">
        <f t="shared" si="0"/>
        <v>6</v>
      </c>
      <c r="T16" s="27">
        <v>2</v>
      </c>
      <c r="U16" s="27">
        <v>1</v>
      </c>
      <c r="V16" s="27">
        <v>3</v>
      </c>
      <c r="W16" s="27">
        <v>0</v>
      </c>
      <c r="X16" s="11">
        <v>0</v>
      </c>
      <c r="Y16" s="11">
        <v>0</v>
      </c>
      <c r="Z16" s="27">
        <v>0</v>
      </c>
      <c r="AA16" s="27" t="s">
        <v>34</v>
      </c>
      <c r="AB16" s="34">
        <v>0.5</v>
      </c>
      <c r="AC16" s="61" t="s">
        <v>122</v>
      </c>
    </row>
    <row r="17" spans="2:29" ht="18.75" thickBot="1" x14ac:dyDescent="0.3">
      <c r="B17" s="8">
        <v>45778</v>
      </c>
      <c r="C17" s="27">
        <v>5</v>
      </c>
      <c r="D17" s="27">
        <v>13.5</v>
      </c>
      <c r="E17" s="32">
        <v>8.5</v>
      </c>
      <c r="F17" s="32">
        <v>0</v>
      </c>
      <c r="G17" s="33">
        <v>4</v>
      </c>
      <c r="H17" s="32">
        <v>4</v>
      </c>
      <c r="I17" s="33">
        <v>0</v>
      </c>
      <c r="J17" s="28">
        <v>0</v>
      </c>
      <c r="K17" s="12">
        <v>1</v>
      </c>
      <c r="L17" s="12">
        <v>2</v>
      </c>
      <c r="M17" s="12">
        <v>1</v>
      </c>
      <c r="N17" s="12">
        <v>0</v>
      </c>
      <c r="O17" s="13">
        <v>0</v>
      </c>
      <c r="P17" s="27">
        <v>0</v>
      </c>
      <c r="Q17" s="12">
        <v>13</v>
      </c>
      <c r="R17" s="12">
        <v>16</v>
      </c>
      <c r="S17" s="27">
        <f t="shared" si="0"/>
        <v>3</v>
      </c>
      <c r="T17" s="35">
        <v>1</v>
      </c>
      <c r="U17" s="35">
        <v>1</v>
      </c>
      <c r="V17" s="35">
        <v>1</v>
      </c>
      <c r="W17" s="12">
        <v>9</v>
      </c>
      <c r="X17" s="11">
        <v>0</v>
      </c>
      <c r="Y17" s="11">
        <v>0</v>
      </c>
      <c r="Z17" s="12">
        <v>9</v>
      </c>
      <c r="AA17" s="12" t="s">
        <v>33</v>
      </c>
      <c r="AB17" s="10">
        <v>0</v>
      </c>
      <c r="AC17" s="60" t="s">
        <v>123</v>
      </c>
    </row>
    <row r="18" spans="2:29" ht="99.75" thickBot="1" x14ac:dyDescent="0.3">
      <c r="B18" s="8">
        <v>45809</v>
      </c>
      <c r="C18" s="27">
        <v>6</v>
      </c>
      <c r="D18" s="27">
        <v>5.5</v>
      </c>
      <c r="E18" s="27">
        <v>1</v>
      </c>
      <c r="F18" s="27">
        <v>2</v>
      </c>
      <c r="G18" s="12">
        <v>2</v>
      </c>
      <c r="H18" s="27">
        <v>1</v>
      </c>
      <c r="I18" s="12">
        <v>0</v>
      </c>
      <c r="J18" s="28">
        <v>0</v>
      </c>
      <c r="K18" s="12">
        <v>1</v>
      </c>
      <c r="L18" s="12" t="s">
        <v>35</v>
      </c>
      <c r="M18" s="12">
        <v>0</v>
      </c>
      <c r="N18" s="12">
        <v>1</v>
      </c>
      <c r="O18" s="13">
        <v>0</v>
      </c>
      <c r="P18" s="27">
        <v>0</v>
      </c>
      <c r="Q18" s="12">
        <v>1</v>
      </c>
      <c r="R18" s="12">
        <v>2</v>
      </c>
      <c r="S18" s="27">
        <f t="shared" si="0"/>
        <v>0</v>
      </c>
      <c r="T18" s="35">
        <v>0</v>
      </c>
      <c r="U18" s="35">
        <v>0</v>
      </c>
      <c r="V18" s="35">
        <v>0</v>
      </c>
      <c r="W18" s="12">
        <v>1</v>
      </c>
      <c r="X18" s="12">
        <v>0</v>
      </c>
      <c r="Y18" s="12">
        <v>0</v>
      </c>
      <c r="Z18" s="12">
        <v>1</v>
      </c>
      <c r="AA18" s="12" t="s">
        <v>33</v>
      </c>
      <c r="AB18" s="10">
        <v>0.5</v>
      </c>
      <c r="AC18" s="59" t="s">
        <v>124</v>
      </c>
    </row>
    <row r="19" spans="2:29" ht="15.75" thickBot="1" x14ac:dyDescent="0.3">
      <c r="B19" s="8">
        <v>45839</v>
      </c>
      <c r="C19" s="9">
        <v>8</v>
      </c>
      <c r="D19" s="9">
        <v>9</v>
      </c>
      <c r="E19" s="12">
        <v>3</v>
      </c>
      <c r="F19" s="14">
        <v>6</v>
      </c>
      <c r="G19" s="15">
        <v>0</v>
      </c>
      <c r="H19" s="10">
        <v>0</v>
      </c>
      <c r="I19" s="15">
        <v>0</v>
      </c>
      <c r="J19" s="10">
        <v>0</v>
      </c>
      <c r="K19" s="12">
        <v>4</v>
      </c>
      <c r="L19" s="15"/>
      <c r="M19" s="15">
        <v>0</v>
      </c>
      <c r="N19" s="13">
        <v>0</v>
      </c>
      <c r="O19" s="13">
        <v>0</v>
      </c>
      <c r="P19" s="15">
        <v>0</v>
      </c>
      <c r="Q19" s="16">
        <v>2</v>
      </c>
      <c r="R19" s="16">
        <v>5</v>
      </c>
      <c r="S19" s="11">
        <v>6</v>
      </c>
      <c r="T19" s="11">
        <v>0</v>
      </c>
      <c r="U19" s="11">
        <v>1</v>
      </c>
      <c r="V19" s="11">
        <v>5</v>
      </c>
      <c r="W19" s="11">
        <v>2</v>
      </c>
      <c r="X19" s="11">
        <v>0</v>
      </c>
      <c r="Y19" s="11">
        <v>0</v>
      </c>
      <c r="Z19" s="11">
        <v>2</v>
      </c>
      <c r="AA19" s="12" t="s">
        <v>33</v>
      </c>
      <c r="AB19" s="26">
        <v>2</v>
      </c>
      <c r="AC19" s="62"/>
    </row>
    <row r="20" spans="2:29" ht="15.75" thickBot="1" x14ac:dyDescent="0.3">
      <c r="B20" s="8"/>
      <c r="C20" s="8"/>
      <c r="D20" s="8"/>
      <c r="E20" s="12"/>
      <c r="F20" s="18"/>
      <c r="G20" s="12"/>
      <c r="H20" s="18"/>
      <c r="I20" s="12"/>
      <c r="J20" s="10"/>
      <c r="K20" s="12"/>
      <c r="L20" s="12"/>
      <c r="M20" s="12"/>
      <c r="N20" s="18"/>
      <c r="O20" s="12"/>
      <c r="P20" s="12"/>
      <c r="Q20" s="13"/>
      <c r="R20" s="13"/>
      <c r="S20" s="19"/>
      <c r="T20" s="19"/>
      <c r="U20" s="19"/>
      <c r="V20" s="19"/>
      <c r="W20" s="19"/>
      <c r="X20" s="19"/>
      <c r="Y20" s="19"/>
      <c r="Z20" s="19"/>
      <c r="AA20" s="19"/>
      <c r="AB20" s="17"/>
      <c r="AC20" s="63"/>
    </row>
    <row r="21" spans="2:29" ht="15.75" thickBot="1" x14ac:dyDescent="0.3">
      <c r="B21" s="8"/>
      <c r="C21" s="8"/>
      <c r="D21" s="8"/>
      <c r="E21" s="12"/>
      <c r="F21" s="18"/>
      <c r="G21" s="12"/>
      <c r="H21" s="18"/>
      <c r="I21" s="12"/>
      <c r="J21" s="18"/>
      <c r="K21" s="12"/>
      <c r="L21" s="12"/>
      <c r="M21" s="12"/>
      <c r="N21" s="18"/>
      <c r="O21" s="12"/>
      <c r="P21" s="12"/>
      <c r="Q21" s="13"/>
      <c r="R21" s="13"/>
      <c r="S21" s="19"/>
      <c r="T21" s="19"/>
      <c r="U21" s="19"/>
      <c r="V21" s="19"/>
      <c r="W21" s="19"/>
      <c r="X21" s="19"/>
      <c r="Y21" s="19"/>
      <c r="Z21" s="19"/>
      <c r="AA21" s="19"/>
      <c r="AB21" s="17"/>
      <c r="AC21" s="11"/>
    </row>
    <row r="22" spans="2:29" ht="15.75" thickBot="1" x14ac:dyDescent="0.3">
      <c r="B22" s="8"/>
      <c r="C22" s="8"/>
      <c r="D22" s="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11"/>
    </row>
    <row r="23" spans="2:29" ht="15.75" thickBot="1" x14ac:dyDescent="0.3">
      <c r="C23" s="21">
        <f>SUM(C8:C19)</f>
        <v>64</v>
      </c>
      <c r="D23" s="21">
        <f t="shared" ref="D23:AB23" si="1">SUM(D8:D19)</f>
        <v>120</v>
      </c>
      <c r="E23" s="21">
        <f t="shared" si="1"/>
        <v>64.5</v>
      </c>
      <c r="F23" s="21">
        <f t="shared" si="1"/>
        <v>10</v>
      </c>
      <c r="G23" s="21">
        <f t="shared" si="1"/>
        <v>41</v>
      </c>
      <c r="H23" s="21">
        <f t="shared" si="1"/>
        <v>22</v>
      </c>
      <c r="I23" s="21">
        <f t="shared" si="1"/>
        <v>15</v>
      </c>
      <c r="J23" s="21">
        <f t="shared" si="1"/>
        <v>0</v>
      </c>
      <c r="K23" s="21">
        <f t="shared" si="1"/>
        <v>13</v>
      </c>
      <c r="L23" s="21"/>
      <c r="M23" s="21">
        <f t="shared" si="1"/>
        <v>11</v>
      </c>
      <c r="N23" s="21">
        <f t="shared" si="1"/>
        <v>6</v>
      </c>
      <c r="O23" s="21">
        <f t="shared" si="1"/>
        <v>0</v>
      </c>
      <c r="P23" s="21">
        <f t="shared" si="1"/>
        <v>9</v>
      </c>
      <c r="Q23" s="21">
        <f t="shared" si="1"/>
        <v>108</v>
      </c>
      <c r="R23" s="21">
        <f t="shared" si="1"/>
        <v>209</v>
      </c>
      <c r="S23" s="21">
        <f t="shared" si="1"/>
        <v>132</v>
      </c>
      <c r="T23" s="21">
        <f t="shared" si="1"/>
        <v>52</v>
      </c>
      <c r="U23" s="21">
        <f t="shared" si="1"/>
        <v>28</v>
      </c>
      <c r="V23" s="21">
        <f t="shared" si="1"/>
        <v>52</v>
      </c>
      <c r="W23" s="21">
        <f t="shared" si="1"/>
        <v>31</v>
      </c>
      <c r="X23" s="21">
        <f t="shared" si="1"/>
        <v>0</v>
      </c>
      <c r="Y23" s="21">
        <f t="shared" si="1"/>
        <v>0</v>
      </c>
      <c r="Z23" s="21">
        <f t="shared" si="1"/>
        <v>31</v>
      </c>
      <c r="AA23" s="21">
        <f t="shared" si="1"/>
        <v>0</v>
      </c>
      <c r="AB23" s="21">
        <f t="shared" si="1"/>
        <v>12.5</v>
      </c>
      <c r="AC23" s="21">
        <v>0</v>
      </c>
    </row>
    <row r="24" spans="2:29" ht="15.75" thickBot="1" x14ac:dyDescent="0.3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</row>
    <row r="25" spans="2:29" ht="15.75" thickBot="1" x14ac:dyDescent="0.3">
      <c r="B25" s="164" t="s">
        <v>36</v>
      </c>
      <c r="C25" s="165"/>
      <c r="D25" s="165"/>
      <c r="E25" s="166"/>
      <c r="F25" s="164" t="s">
        <v>37</v>
      </c>
      <c r="G25" s="165"/>
      <c r="H25" s="165"/>
      <c r="I25" s="165"/>
      <c r="J25" s="166"/>
      <c r="K25" s="164" t="s">
        <v>38</v>
      </c>
      <c r="L25" s="165"/>
      <c r="M25" s="166"/>
    </row>
    <row r="26" spans="2:29" ht="15.75" thickBot="1" x14ac:dyDescent="0.3">
      <c r="B26" s="167"/>
      <c r="C26" s="168"/>
      <c r="D26" s="168"/>
      <c r="E26" s="169"/>
      <c r="F26" s="167"/>
      <c r="G26" s="168"/>
      <c r="H26" s="168"/>
      <c r="I26" s="168"/>
      <c r="J26" s="169"/>
      <c r="K26" s="167"/>
      <c r="L26" s="168"/>
      <c r="M26" s="169"/>
      <c r="O26" s="164" t="s">
        <v>39</v>
      </c>
      <c r="P26" s="165"/>
      <c r="Q26" s="165"/>
      <c r="R26" s="166"/>
      <c r="S26" s="12">
        <v>64.5</v>
      </c>
    </row>
    <row r="27" spans="2:29" x14ac:dyDescent="0.25">
      <c r="B27" s="159"/>
      <c r="C27" s="156"/>
      <c r="D27" s="156"/>
      <c r="E27" s="160"/>
      <c r="F27" s="159"/>
      <c r="G27" s="156"/>
      <c r="H27" s="156"/>
      <c r="I27" s="156"/>
      <c r="J27" s="160"/>
      <c r="K27" s="159"/>
      <c r="L27" s="156"/>
      <c r="M27" s="160"/>
      <c r="O27" s="167" t="s">
        <v>40</v>
      </c>
      <c r="P27" s="168"/>
      <c r="Q27" s="168"/>
      <c r="R27" s="169"/>
      <c r="S27" s="157">
        <v>10</v>
      </c>
      <c r="T27" s="22"/>
      <c r="U27" s="22"/>
      <c r="V27" s="22"/>
    </row>
    <row r="28" spans="2:29" ht="15.75" thickBot="1" x14ac:dyDescent="0.3">
      <c r="B28" s="159"/>
      <c r="C28" s="156"/>
      <c r="D28" s="156"/>
      <c r="E28" s="160"/>
      <c r="F28" s="159"/>
      <c r="G28" s="156"/>
      <c r="H28" s="156"/>
      <c r="I28" s="156"/>
      <c r="J28" s="160"/>
      <c r="K28" s="159"/>
      <c r="L28" s="156"/>
      <c r="M28" s="160"/>
      <c r="O28" s="161"/>
      <c r="P28" s="162"/>
      <c r="Q28" s="162"/>
      <c r="R28" s="163"/>
      <c r="S28" s="158"/>
      <c r="T28" s="22"/>
      <c r="U28" s="22"/>
      <c r="V28" s="22"/>
    </row>
    <row r="29" spans="2:29" ht="15.75" thickBot="1" x14ac:dyDescent="0.3">
      <c r="B29" s="161"/>
      <c r="C29" s="162"/>
      <c r="D29" s="162"/>
      <c r="E29" s="163"/>
      <c r="F29" s="161"/>
      <c r="G29" s="162"/>
      <c r="H29" s="162"/>
      <c r="I29" s="162"/>
      <c r="J29" s="163"/>
      <c r="K29" s="161"/>
      <c r="L29" s="162"/>
      <c r="M29" s="163"/>
      <c r="O29" s="164" t="s">
        <v>41</v>
      </c>
      <c r="P29" s="165"/>
      <c r="Q29" s="165"/>
      <c r="R29" s="166"/>
      <c r="S29" s="12">
        <v>41</v>
      </c>
    </row>
    <row r="30" spans="2:29" ht="15.75" thickBot="1" x14ac:dyDescent="0.3">
      <c r="O30" s="164" t="s">
        <v>145</v>
      </c>
      <c r="P30" s="165"/>
      <c r="Q30" s="165"/>
      <c r="R30" s="166"/>
      <c r="S30" s="12">
        <v>37</v>
      </c>
    </row>
    <row r="31" spans="2:29" ht="15.75" thickBot="1" x14ac:dyDescent="0.3">
      <c r="O31" s="164" t="s">
        <v>43</v>
      </c>
      <c r="P31" s="165"/>
      <c r="Q31" s="165"/>
      <c r="R31" s="166"/>
      <c r="S31" s="78">
        <v>13</v>
      </c>
    </row>
  </sheetData>
  <mergeCells count="33">
    <mergeCell ref="O30:R30"/>
    <mergeCell ref="O31:R31"/>
    <mergeCell ref="O26:R26"/>
    <mergeCell ref="B27:E27"/>
    <mergeCell ref="F27:J29"/>
    <mergeCell ref="K27:M29"/>
    <mergeCell ref="O27:R28"/>
    <mergeCell ref="AC6:AC7"/>
    <mergeCell ref="B24:R24"/>
    <mergeCell ref="S27:S28"/>
    <mergeCell ref="B28:E28"/>
    <mergeCell ref="B29:E29"/>
    <mergeCell ref="O29:R29"/>
    <mergeCell ref="S6:V6"/>
    <mergeCell ref="B25:E25"/>
    <mergeCell ref="F25:J25"/>
    <mergeCell ref="K25:M25"/>
    <mergeCell ref="B26:E26"/>
    <mergeCell ref="F26:J26"/>
    <mergeCell ref="K26:M26"/>
    <mergeCell ref="B1:AB4"/>
    <mergeCell ref="B5:AB5"/>
    <mergeCell ref="B6:B7"/>
    <mergeCell ref="C6:C7"/>
    <mergeCell ref="E6:G6"/>
    <mergeCell ref="H6:I6"/>
    <mergeCell ref="J6:K6"/>
    <mergeCell ref="M6:P6"/>
    <mergeCell ref="Q6:Q7"/>
    <mergeCell ref="R6:R7"/>
    <mergeCell ref="W6:Z6"/>
    <mergeCell ref="AA6:AA7"/>
    <mergeCell ref="AB6:AB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workbookViewId="0">
      <selection sqref="A1:AC1"/>
    </sheetView>
  </sheetViews>
  <sheetFormatPr defaultRowHeight="15" x14ac:dyDescent="0.25"/>
  <cols>
    <col min="2" max="2" width="8.5703125" bestFit="1" customWidth="1"/>
    <col min="3" max="4" width="6" bestFit="1" customWidth="1"/>
    <col min="5" max="5" width="3.85546875" bestFit="1" customWidth="1"/>
    <col min="6" max="6" width="6.5703125" bestFit="1" customWidth="1"/>
    <col min="7" max="7" width="6.85546875" bestFit="1" customWidth="1"/>
    <col min="8" max="8" width="14.140625" customWidth="1"/>
    <col min="9" max="10" width="11.140625" bestFit="1" customWidth="1"/>
    <col min="11" max="11" width="11.140625" customWidth="1"/>
    <col min="12" max="12" width="12.42578125" bestFit="1" customWidth="1"/>
    <col min="13" max="13" width="8.140625" bestFit="1" customWidth="1"/>
    <col min="14" max="14" width="7" customWidth="1"/>
    <col min="19" max="19" width="9.28515625" customWidth="1"/>
    <col min="20" max="20" width="12.140625" bestFit="1" customWidth="1"/>
    <col min="22" max="22" width="11.140625" customWidth="1"/>
    <col min="28" max="28" width="12.42578125" bestFit="1" customWidth="1"/>
    <col min="29" max="29" width="30.85546875" customWidth="1"/>
  </cols>
  <sheetData>
    <row r="1" spans="1:29" ht="36.75" customHeight="1" thickBot="1" x14ac:dyDescent="0.3">
      <c r="A1" s="170" t="s">
        <v>71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2"/>
    </row>
    <row r="2" spans="1:29" s="70" customFormat="1" ht="15.75" customHeight="1" thickBot="1" x14ac:dyDescent="0.3">
      <c r="A2" s="174" t="s">
        <v>1</v>
      </c>
      <c r="B2" s="176" t="s">
        <v>3</v>
      </c>
      <c r="C2" s="177"/>
      <c r="D2" s="177"/>
      <c r="E2" s="177"/>
      <c r="F2" s="178"/>
      <c r="G2" s="179" t="s">
        <v>4</v>
      </c>
      <c r="H2" s="180"/>
      <c r="I2" s="179" t="s">
        <v>5</v>
      </c>
      <c r="J2" s="180"/>
      <c r="K2" s="185" t="s">
        <v>45</v>
      </c>
      <c r="L2" s="179" t="s">
        <v>6</v>
      </c>
      <c r="M2" s="187"/>
      <c r="N2" s="187"/>
      <c r="O2" s="180"/>
      <c r="P2" s="179" t="s">
        <v>46</v>
      </c>
      <c r="Q2" s="187"/>
      <c r="R2" s="187"/>
      <c r="S2" s="180"/>
      <c r="T2" s="188" t="s">
        <v>47</v>
      </c>
      <c r="U2" s="174" t="s">
        <v>48</v>
      </c>
      <c r="V2" s="175" t="s">
        <v>49</v>
      </c>
      <c r="W2" s="181"/>
      <c r="X2" s="181"/>
      <c r="Y2" s="181"/>
      <c r="Z2" s="182"/>
      <c r="AA2" s="183" t="s">
        <v>50</v>
      </c>
      <c r="AB2" s="184"/>
      <c r="AC2" s="173"/>
    </row>
    <row r="3" spans="1:29" s="70" customFormat="1" ht="54" customHeight="1" thickBot="1" x14ac:dyDescent="0.3">
      <c r="A3" s="175"/>
      <c r="B3" s="71" t="s">
        <v>2</v>
      </c>
      <c r="C3" s="117" t="s">
        <v>26</v>
      </c>
      <c r="D3" s="115" t="s">
        <v>14</v>
      </c>
      <c r="E3" s="115" t="s">
        <v>15</v>
      </c>
      <c r="F3" s="116" t="s">
        <v>16</v>
      </c>
      <c r="G3" s="72" t="s">
        <v>17</v>
      </c>
      <c r="H3" s="73" t="s">
        <v>18</v>
      </c>
      <c r="I3" s="73" t="s">
        <v>19</v>
      </c>
      <c r="J3" s="73" t="s">
        <v>20</v>
      </c>
      <c r="K3" s="186"/>
      <c r="L3" s="74" t="s">
        <v>22</v>
      </c>
      <c r="M3" s="74" t="s">
        <v>23</v>
      </c>
      <c r="N3" s="75" t="s">
        <v>51</v>
      </c>
      <c r="O3" s="76" t="s">
        <v>25</v>
      </c>
      <c r="P3" s="118" t="s">
        <v>52</v>
      </c>
      <c r="Q3" s="119" t="s">
        <v>53</v>
      </c>
      <c r="R3" s="120" t="s">
        <v>54</v>
      </c>
      <c r="S3" s="121" t="s">
        <v>26</v>
      </c>
      <c r="T3" s="189"/>
      <c r="U3" s="175"/>
      <c r="V3" s="122" t="s">
        <v>30</v>
      </c>
      <c r="W3" s="122" t="s">
        <v>31</v>
      </c>
      <c r="X3" s="123" t="s">
        <v>55</v>
      </c>
      <c r="Y3" s="123" t="s">
        <v>56</v>
      </c>
      <c r="Z3" s="74" t="s">
        <v>26</v>
      </c>
      <c r="AA3" s="77" t="s">
        <v>57</v>
      </c>
      <c r="AB3" s="77" t="s">
        <v>58</v>
      </c>
      <c r="AC3" s="173"/>
    </row>
    <row r="4" spans="1:29" ht="16.5" customHeight="1" thickBot="1" x14ac:dyDescent="0.3">
      <c r="A4" s="41">
        <v>45505</v>
      </c>
      <c r="B4" s="27">
        <v>4</v>
      </c>
      <c r="C4" s="27">
        <v>7</v>
      </c>
      <c r="D4" s="27">
        <v>4</v>
      </c>
      <c r="E4" s="28"/>
      <c r="F4" s="27">
        <v>2</v>
      </c>
      <c r="G4" s="28">
        <v>4</v>
      </c>
      <c r="H4" s="27">
        <v>0</v>
      </c>
      <c r="I4" s="28">
        <v>1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7</v>
      </c>
      <c r="Q4" s="27">
        <v>0</v>
      </c>
      <c r="R4" s="27">
        <v>18</v>
      </c>
      <c r="S4" s="28">
        <f>SUM($P4+$Q4+$R4)</f>
        <v>25</v>
      </c>
      <c r="T4" s="27">
        <v>6</v>
      </c>
      <c r="U4" s="27">
        <v>23</v>
      </c>
      <c r="V4" s="38">
        <v>3</v>
      </c>
      <c r="W4" s="27">
        <v>0</v>
      </c>
      <c r="X4" s="27">
        <v>0</v>
      </c>
      <c r="Y4" s="27">
        <v>0</v>
      </c>
      <c r="Z4" s="38"/>
      <c r="AA4" s="11">
        <v>2</v>
      </c>
      <c r="AB4" s="12" t="s">
        <v>33</v>
      </c>
      <c r="AC4" s="39"/>
    </row>
    <row r="5" spans="1:29" ht="16.5" customHeight="1" thickBot="1" x14ac:dyDescent="0.3">
      <c r="A5" s="41">
        <v>45536</v>
      </c>
      <c r="B5" s="27">
        <v>5</v>
      </c>
      <c r="C5" s="27">
        <v>9.5</v>
      </c>
      <c r="D5" s="27">
        <v>3</v>
      </c>
      <c r="E5" s="28"/>
      <c r="F5" s="27">
        <v>3</v>
      </c>
      <c r="G5" s="28">
        <v>2</v>
      </c>
      <c r="H5" s="27">
        <v>0</v>
      </c>
      <c r="I5" s="28">
        <v>3</v>
      </c>
      <c r="J5" s="27">
        <v>1</v>
      </c>
      <c r="K5" s="27">
        <v>0</v>
      </c>
      <c r="L5" s="27">
        <v>0</v>
      </c>
      <c r="M5" s="27">
        <v>1</v>
      </c>
      <c r="N5" s="27">
        <v>0</v>
      </c>
      <c r="O5" s="27">
        <v>0</v>
      </c>
      <c r="P5" s="27">
        <v>3</v>
      </c>
      <c r="Q5" s="27">
        <v>2</v>
      </c>
      <c r="R5" s="27">
        <v>19</v>
      </c>
      <c r="S5" s="28">
        <f t="shared" ref="S5:S15" si="0">SUM($P5+$Q5+$R5)</f>
        <v>24</v>
      </c>
      <c r="T5" s="27">
        <v>8</v>
      </c>
      <c r="U5" s="27">
        <v>38</v>
      </c>
      <c r="V5" s="27">
        <v>7</v>
      </c>
      <c r="W5" s="27">
        <v>0</v>
      </c>
      <c r="X5" s="27">
        <v>0</v>
      </c>
      <c r="Y5" s="27">
        <v>0</v>
      </c>
      <c r="Z5" s="27"/>
      <c r="AA5" s="11">
        <v>0</v>
      </c>
      <c r="AB5" s="12">
        <v>0</v>
      </c>
      <c r="AC5" s="39"/>
    </row>
    <row r="6" spans="1:29" ht="16.5" customHeight="1" thickBot="1" x14ac:dyDescent="0.3">
      <c r="A6" s="41">
        <v>45566</v>
      </c>
      <c r="B6" s="27">
        <v>5</v>
      </c>
      <c r="C6" s="27">
        <v>7.5</v>
      </c>
      <c r="D6" s="27">
        <v>2</v>
      </c>
      <c r="E6" s="28"/>
      <c r="F6" s="27">
        <v>5</v>
      </c>
      <c r="G6" s="28">
        <v>4</v>
      </c>
      <c r="H6" s="27">
        <v>0</v>
      </c>
      <c r="I6" s="27">
        <v>0</v>
      </c>
      <c r="J6" s="27">
        <v>1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3</v>
      </c>
      <c r="Q6" s="27">
        <v>4</v>
      </c>
      <c r="R6" s="27">
        <v>18</v>
      </c>
      <c r="S6" s="28">
        <f t="shared" si="0"/>
        <v>25</v>
      </c>
      <c r="T6" s="27">
        <v>11</v>
      </c>
      <c r="U6" s="27">
        <v>27</v>
      </c>
      <c r="V6" s="27">
        <v>10</v>
      </c>
      <c r="W6" s="27">
        <v>0</v>
      </c>
      <c r="X6" s="27">
        <v>0</v>
      </c>
      <c r="Y6" s="27">
        <v>0</v>
      </c>
      <c r="Z6" s="27"/>
      <c r="AA6" s="11">
        <v>0</v>
      </c>
      <c r="AB6" s="12">
        <v>0</v>
      </c>
      <c r="AC6" s="39"/>
    </row>
    <row r="7" spans="1:29" ht="18.75" customHeight="1" thickBot="1" x14ac:dyDescent="0.3">
      <c r="A7" s="41">
        <v>45597</v>
      </c>
      <c r="B7" s="27">
        <v>4</v>
      </c>
      <c r="C7" s="27">
        <v>5.5</v>
      </c>
      <c r="D7" s="27">
        <v>3.5</v>
      </c>
      <c r="E7" s="28"/>
      <c r="F7" s="27">
        <v>2</v>
      </c>
      <c r="G7" s="28">
        <v>2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2</v>
      </c>
      <c r="Q7" s="27">
        <v>5</v>
      </c>
      <c r="R7" s="27">
        <v>19</v>
      </c>
      <c r="S7" s="28">
        <f t="shared" si="0"/>
        <v>26</v>
      </c>
      <c r="T7" s="27">
        <v>15</v>
      </c>
      <c r="U7" s="27">
        <v>41</v>
      </c>
      <c r="V7" s="27">
        <v>11</v>
      </c>
      <c r="W7" s="27">
        <v>0</v>
      </c>
      <c r="X7" s="27">
        <v>0</v>
      </c>
      <c r="Y7" s="27">
        <v>0</v>
      </c>
      <c r="Z7" s="27">
        <f>SUM($V7+$W7+$X7+$Y7)</f>
        <v>11</v>
      </c>
      <c r="AA7" s="11">
        <v>2</v>
      </c>
      <c r="AB7" s="12" t="s">
        <v>72</v>
      </c>
      <c r="AC7" s="40"/>
    </row>
    <row r="8" spans="1:29" ht="16.5" customHeight="1" thickBot="1" x14ac:dyDescent="0.3">
      <c r="A8" s="41">
        <v>45627</v>
      </c>
      <c r="B8" s="27">
        <v>5</v>
      </c>
      <c r="C8" s="27">
        <v>10</v>
      </c>
      <c r="D8" s="27">
        <v>2</v>
      </c>
      <c r="E8" s="28"/>
      <c r="F8" s="27">
        <v>1</v>
      </c>
      <c r="G8" s="28">
        <v>11</v>
      </c>
      <c r="H8" s="27">
        <v>0</v>
      </c>
      <c r="I8" s="27">
        <v>0</v>
      </c>
      <c r="J8" s="27">
        <v>2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6</v>
      </c>
      <c r="Q8" s="27">
        <v>11</v>
      </c>
      <c r="R8" s="27">
        <v>22</v>
      </c>
      <c r="S8" s="28">
        <f t="shared" si="0"/>
        <v>39</v>
      </c>
      <c r="T8" s="27">
        <v>16</v>
      </c>
      <c r="U8" s="13">
        <v>40</v>
      </c>
      <c r="V8" s="13">
        <v>1</v>
      </c>
      <c r="W8" s="27">
        <v>0</v>
      </c>
      <c r="X8" s="27">
        <v>0</v>
      </c>
      <c r="Y8" s="27">
        <v>0</v>
      </c>
      <c r="Z8" s="27">
        <f t="shared" ref="Z8:Z15" si="1">SUM($V8+$W8+$X8+$Y8)</f>
        <v>1</v>
      </c>
      <c r="AA8" s="11">
        <v>0</v>
      </c>
      <c r="AB8" s="12" t="s">
        <v>33</v>
      </c>
      <c r="AC8" s="39"/>
    </row>
    <row r="9" spans="1:29" ht="16.5" customHeight="1" thickBot="1" x14ac:dyDescent="0.3">
      <c r="A9" s="41">
        <v>45658</v>
      </c>
      <c r="B9" s="27">
        <v>4</v>
      </c>
      <c r="C9" s="27">
        <v>9</v>
      </c>
      <c r="D9" s="27">
        <v>2.5</v>
      </c>
      <c r="E9" s="28"/>
      <c r="F9" s="27">
        <v>6</v>
      </c>
      <c r="G9" s="28">
        <v>7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4</v>
      </c>
      <c r="Q9" s="27">
        <v>5</v>
      </c>
      <c r="R9" s="27">
        <v>32</v>
      </c>
      <c r="S9" s="28">
        <f t="shared" si="0"/>
        <v>41</v>
      </c>
      <c r="T9" s="36">
        <v>17</v>
      </c>
      <c r="U9" s="37">
        <v>37</v>
      </c>
      <c r="V9" s="37">
        <v>1</v>
      </c>
      <c r="W9" s="27">
        <v>0</v>
      </c>
      <c r="X9" s="27">
        <v>0</v>
      </c>
      <c r="Y9" s="27">
        <v>0</v>
      </c>
      <c r="Z9" s="27">
        <f t="shared" si="1"/>
        <v>1</v>
      </c>
      <c r="AA9" s="11">
        <v>2</v>
      </c>
      <c r="AB9" s="12" t="s">
        <v>73</v>
      </c>
      <c r="AC9" s="40"/>
    </row>
    <row r="10" spans="1:29" ht="16.5" customHeight="1" thickBot="1" x14ac:dyDescent="0.3">
      <c r="A10" s="41">
        <v>45689</v>
      </c>
      <c r="B10" s="27">
        <v>3</v>
      </c>
      <c r="C10" s="27">
        <v>7.5</v>
      </c>
      <c r="D10" s="27">
        <v>3</v>
      </c>
      <c r="E10" s="27"/>
      <c r="F10" s="27">
        <v>4</v>
      </c>
      <c r="G10" s="27">
        <v>5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4</v>
      </c>
      <c r="Q10" s="27">
        <v>6</v>
      </c>
      <c r="R10" s="27">
        <v>13</v>
      </c>
      <c r="S10" s="28">
        <f t="shared" si="0"/>
        <v>23</v>
      </c>
      <c r="T10" s="27">
        <v>28</v>
      </c>
      <c r="U10" s="27">
        <v>29</v>
      </c>
      <c r="V10" s="27">
        <v>8</v>
      </c>
      <c r="W10" s="27">
        <v>0</v>
      </c>
      <c r="X10" s="27">
        <v>0</v>
      </c>
      <c r="Y10" s="27">
        <v>0</v>
      </c>
      <c r="Z10" s="27">
        <f t="shared" si="1"/>
        <v>8</v>
      </c>
      <c r="AA10" s="11">
        <v>0</v>
      </c>
      <c r="AB10" s="12" t="s">
        <v>33</v>
      </c>
      <c r="AC10" s="39"/>
    </row>
    <row r="11" spans="1:29" ht="14.25" customHeight="1" thickBot="1" x14ac:dyDescent="0.3">
      <c r="A11" s="41">
        <v>45717</v>
      </c>
      <c r="B11" s="27">
        <v>2</v>
      </c>
      <c r="C11" s="27">
        <v>6.5</v>
      </c>
      <c r="D11" s="29">
        <v>1</v>
      </c>
      <c r="E11" s="30"/>
      <c r="F11" s="31">
        <v>9</v>
      </c>
      <c r="G11" s="30">
        <v>2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15</v>
      </c>
      <c r="Q11" s="27">
        <v>1</v>
      </c>
      <c r="R11" s="27">
        <v>20</v>
      </c>
      <c r="S11" s="28">
        <f t="shared" si="0"/>
        <v>36</v>
      </c>
      <c r="T11" s="27">
        <v>28</v>
      </c>
      <c r="U11" s="27">
        <v>17</v>
      </c>
      <c r="V11" s="27">
        <v>2</v>
      </c>
      <c r="W11" s="27">
        <v>0</v>
      </c>
      <c r="X11" s="27">
        <v>0</v>
      </c>
      <c r="Y11" s="27">
        <v>0</v>
      </c>
      <c r="Z11" s="27">
        <f t="shared" si="1"/>
        <v>2</v>
      </c>
      <c r="AA11" s="11">
        <v>0</v>
      </c>
      <c r="AB11" s="12" t="s">
        <v>33</v>
      </c>
      <c r="AC11" s="40"/>
    </row>
    <row r="12" spans="1:29" ht="23.1" customHeight="1" thickBot="1" x14ac:dyDescent="0.3">
      <c r="A12" s="41">
        <v>45748</v>
      </c>
      <c r="B12" s="27">
        <v>9</v>
      </c>
      <c r="C12" s="27">
        <v>24.5</v>
      </c>
      <c r="D12" s="27">
        <v>6</v>
      </c>
      <c r="E12" s="27">
        <v>0</v>
      </c>
      <c r="F12" s="27">
        <v>13</v>
      </c>
      <c r="G12" s="27">
        <v>0</v>
      </c>
      <c r="H12" s="27">
        <v>18</v>
      </c>
      <c r="I12" s="28">
        <v>6</v>
      </c>
      <c r="J12" s="27">
        <v>0</v>
      </c>
      <c r="K12" s="27">
        <v>0</v>
      </c>
      <c r="L12" s="27">
        <v>0</v>
      </c>
      <c r="M12" s="27">
        <v>19</v>
      </c>
      <c r="N12" s="27">
        <v>0</v>
      </c>
      <c r="O12" s="27">
        <v>0</v>
      </c>
      <c r="P12" s="27">
        <v>6</v>
      </c>
      <c r="Q12" s="27">
        <v>1</v>
      </c>
      <c r="R12" s="27">
        <v>9</v>
      </c>
      <c r="S12" s="28">
        <f t="shared" si="0"/>
        <v>16</v>
      </c>
      <c r="T12" s="27">
        <v>57</v>
      </c>
      <c r="U12" s="27">
        <v>17</v>
      </c>
      <c r="V12" s="27">
        <v>3</v>
      </c>
      <c r="W12" s="27">
        <v>0</v>
      </c>
      <c r="X12" s="27">
        <v>0</v>
      </c>
      <c r="Y12" s="27">
        <v>0</v>
      </c>
      <c r="Z12" s="27">
        <f t="shared" si="1"/>
        <v>3</v>
      </c>
      <c r="AA12" s="12">
        <v>1</v>
      </c>
      <c r="AB12" s="12" t="s">
        <v>33</v>
      </c>
      <c r="AC12" s="47" t="s">
        <v>74</v>
      </c>
    </row>
    <row r="13" spans="1:29" ht="23.1" customHeight="1" thickBot="1" x14ac:dyDescent="0.3">
      <c r="A13" s="41">
        <v>45778</v>
      </c>
      <c r="B13" s="27">
        <v>1</v>
      </c>
      <c r="C13" s="27">
        <v>9.5</v>
      </c>
      <c r="D13" s="32">
        <v>1</v>
      </c>
      <c r="E13" s="32"/>
      <c r="F13" s="33">
        <v>4</v>
      </c>
      <c r="G13" s="32">
        <v>5</v>
      </c>
      <c r="H13" s="27">
        <v>0</v>
      </c>
      <c r="I13" s="33">
        <v>4</v>
      </c>
      <c r="J13" s="27">
        <v>0</v>
      </c>
      <c r="K13" s="27">
        <v>0</v>
      </c>
      <c r="L13" s="27">
        <v>0</v>
      </c>
      <c r="M13" s="12">
        <v>4</v>
      </c>
      <c r="N13" s="27">
        <v>0</v>
      </c>
      <c r="O13" s="27">
        <v>0</v>
      </c>
      <c r="P13" s="35">
        <v>1</v>
      </c>
      <c r="Q13" s="35">
        <v>2</v>
      </c>
      <c r="R13" s="35">
        <v>1</v>
      </c>
      <c r="S13" s="28">
        <f t="shared" si="0"/>
        <v>4</v>
      </c>
      <c r="T13" s="12">
        <v>26</v>
      </c>
      <c r="U13" s="12">
        <v>30</v>
      </c>
      <c r="V13" s="12">
        <v>13</v>
      </c>
      <c r="W13" s="27">
        <v>0</v>
      </c>
      <c r="X13" s="27">
        <v>0</v>
      </c>
      <c r="Y13" s="27">
        <v>0</v>
      </c>
      <c r="Z13" s="27">
        <f t="shared" si="1"/>
        <v>13</v>
      </c>
      <c r="AA13" s="12">
        <v>3</v>
      </c>
      <c r="AB13" s="12" t="s">
        <v>33</v>
      </c>
      <c r="AC13" s="39"/>
    </row>
    <row r="14" spans="1:29" ht="23.1" customHeight="1" thickBot="1" x14ac:dyDescent="0.3">
      <c r="A14" s="41">
        <v>45809</v>
      </c>
      <c r="B14" s="27">
        <v>6</v>
      </c>
      <c r="C14" s="27">
        <v>9</v>
      </c>
      <c r="D14" s="27">
        <v>0.5</v>
      </c>
      <c r="E14" s="27">
        <v>4</v>
      </c>
      <c r="F14" s="12">
        <v>4</v>
      </c>
      <c r="G14" s="27">
        <v>1</v>
      </c>
      <c r="H14" s="27">
        <v>0</v>
      </c>
      <c r="I14" s="12">
        <v>1</v>
      </c>
      <c r="J14" s="12">
        <v>1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35">
        <v>0</v>
      </c>
      <c r="Q14" s="35">
        <v>0</v>
      </c>
      <c r="R14" s="35">
        <v>1</v>
      </c>
      <c r="S14" s="28">
        <f t="shared" si="0"/>
        <v>1</v>
      </c>
      <c r="T14" s="12">
        <v>6</v>
      </c>
      <c r="U14" s="12">
        <v>0</v>
      </c>
      <c r="V14" s="12">
        <v>0</v>
      </c>
      <c r="W14" s="27">
        <v>0</v>
      </c>
      <c r="X14" s="27">
        <v>0</v>
      </c>
      <c r="Y14" s="27">
        <v>0</v>
      </c>
      <c r="Z14" s="27">
        <f t="shared" si="1"/>
        <v>0</v>
      </c>
      <c r="AA14" s="12">
        <v>1</v>
      </c>
      <c r="AB14" s="12" t="s">
        <v>33</v>
      </c>
      <c r="AC14" s="48" t="s">
        <v>75</v>
      </c>
    </row>
    <row r="15" spans="1:29" ht="16.5" customHeight="1" thickBot="1" x14ac:dyDescent="0.3">
      <c r="A15" s="41">
        <v>45839</v>
      </c>
      <c r="B15" s="27">
        <v>6</v>
      </c>
      <c r="C15" s="27">
        <v>3</v>
      </c>
      <c r="D15" s="27">
        <v>0</v>
      </c>
      <c r="E15" s="27">
        <v>3</v>
      </c>
      <c r="F15" s="12">
        <v>0</v>
      </c>
      <c r="G15" s="27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>
        <v>0</v>
      </c>
      <c r="O15" s="27">
        <v>0</v>
      </c>
      <c r="P15" s="35">
        <v>0</v>
      </c>
      <c r="Q15" s="35">
        <v>0</v>
      </c>
      <c r="R15" s="35">
        <v>0</v>
      </c>
      <c r="S15" s="28">
        <f t="shared" si="0"/>
        <v>0</v>
      </c>
      <c r="T15" s="12">
        <v>6</v>
      </c>
      <c r="U15" s="12">
        <v>5</v>
      </c>
      <c r="V15" s="12">
        <v>5</v>
      </c>
      <c r="W15" s="12">
        <v>0</v>
      </c>
      <c r="X15" s="12">
        <v>0</v>
      </c>
      <c r="Y15" s="12">
        <v>0</v>
      </c>
      <c r="Z15" s="27">
        <f t="shared" si="1"/>
        <v>5</v>
      </c>
      <c r="AA15" s="12"/>
      <c r="AB15" s="12"/>
      <c r="AC15" s="39"/>
    </row>
    <row r="16" spans="1:29" ht="15.75" thickBot="1" x14ac:dyDescent="0.3"/>
    <row r="17" spans="2:28" ht="15.75" thickBot="1" x14ac:dyDescent="0.3">
      <c r="B17" s="42">
        <f>SUM(B4:B15)</f>
        <v>54</v>
      </c>
      <c r="C17" s="42">
        <f t="shared" ref="C17:AB17" si="2">SUM(C4:C15)</f>
        <v>108.5</v>
      </c>
      <c r="D17" s="42">
        <f t="shared" si="2"/>
        <v>28.5</v>
      </c>
      <c r="E17" s="42">
        <f t="shared" si="2"/>
        <v>7</v>
      </c>
      <c r="F17" s="42">
        <f t="shared" si="2"/>
        <v>53</v>
      </c>
      <c r="G17" s="42">
        <f t="shared" si="2"/>
        <v>43</v>
      </c>
      <c r="H17" s="42">
        <f t="shared" si="2"/>
        <v>18</v>
      </c>
      <c r="I17" s="42">
        <f t="shared" si="2"/>
        <v>15</v>
      </c>
      <c r="J17" s="42">
        <f t="shared" si="2"/>
        <v>5</v>
      </c>
      <c r="K17" s="42">
        <f t="shared" si="2"/>
        <v>0</v>
      </c>
      <c r="L17" s="42">
        <f t="shared" si="2"/>
        <v>0</v>
      </c>
      <c r="M17" s="42">
        <f t="shared" si="2"/>
        <v>24</v>
      </c>
      <c r="N17" s="42">
        <f t="shared" si="2"/>
        <v>0</v>
      </c>
      <c r="O17" s="42">
        <f t="shared" si="2"/>
        <v>0</v>
      </c>
      <c r="P17" s="42">
        <f t="shared" si="2"/>
        <v>51</v>
      </c>
      <c r="Q17" s="42">
        <f t="shared" si="2"/>
        <v>37</v>
      </c>
      <c r="R17" s="42">
        <f t="shared" si="2"/>
        <v>172</v>
      </c>
      <c r="S17" s="42">
        <f t="shared" si="2"/>
        <v>260</v>
      </c>
      <c r="T17" s="42">
        <f t="shared" si="2"/>
        <v>224</v>
      </c>
      <c r="U17" s="42">
        <f t="shared" si="2"/>
        <v>304</v>
      </c>
      <c r="V17" s="42">
        <f t="shared" si="2"/>
        <v>64</v>
      </c>
      <c r="W17" s="42">
        <f t="shared" si="2"/>
        <v>0</v>
      </c>
      <c r="X17" s="42">
        <f t="shared" si="2"/>
        <v>0</v>
      </c>
      <c r="Y17" s="42">
        <f t="shared" si="2"/>
        <v>0</v>
      </c>
      <c r="Z17" s="42">
        <f t="shared" si="2"/>
        <v>44</v>
      </c>
      <c r="AA17" s="42">
        <f t="shared" si="2"/>
        <v>11</v>
      </c>
      <c r="AB17" s="42">
        <f t="shared" si="2"/>
        <v>0</v>
      </c>
    </row>
    <row r="19" spans="2:28" ht="15.75" thickBot="1" x14ac:dyDescent="0.3"/>
    <row r="20" spans="2:28" ht="15.75" thickBot="1" x14ac:dyDescent="0.3">
      <c r="H20" s="164" t="s">
        <v>36</v>
      </c>
      <c r="I20" s="165"/>
      <c r="J20" s="165"/>
      <c r="K20" s="166"/>
      <c r="L20" s="164" t="s">
        <v>37</v>
      </c>
      <c r="M20" s="165"/>
      <c r="N20" s="165"/>
      <c r="O20" s="165"/>
      <c r="P20" s="166"/>
      <c r="Q20" s="164" t="s">
        <v>38</v>
      </c>
      <c r="R20" s="165"/>
      <c r="S20" s="166"/>
    </row>
    <row r="21" spans="2:28" ht="15.75" thickBot="1" x14ac:dyDescent="0.3">
      <c r="H21" s="167"/>
      <c r="I21" s="168"/>
      <c r="J21" s="168"/>
      <c r="K21" s="169"/>
      <c r="L21" s="167"/>
      <c r="M21" s="168"/>
      <c r="N21" s="168"/>
      <c r="O21" s="168"/>
      <c r="P21" s="169"/>
      <c r="Q21" s="167"/>
      <c r="R21" s="168"/>
      <c r="S21" s="169"/>
      <c r="U21" s="164" t="s">
        <v>39</v>
      </c>
      <c r="V21" s="165"/>
      <c r="W21" s="165"/>
      <c r="X21" s="166"/>
      <c r="Y21" s="12">
        <v>28.5</v>
      </c>
    </row>
    <row r="22" spans="2:28" ht="15" customHeight="1" x14ac:dyDescent="0.25">
      <c r="H22" s="159"/>
      <c r="I22" s="156"/>
      <c r="J22" s="156"/>
      <c r="K22" s="160"/>
      <c r="L22" s="159"/>
      <c r="M22" s="156"/>
      <c r="N22" s="156"/>
      <c r="O22" s="156"/>
      <c r="P22" s="160"/>
      <c r="Q22" s="159"/>
      <c r="R22" s="156"/>
      <c r="S22" s="160"/>
      <c r="U22" s="167" t="s">
        <v>40</v>
      </c>
      <c r="V22" s="168"/>
      <c r="W22" s="168"/>
      <c r="X22" s="169"/>
      <c r="Y22" s="157">
        <v>7</v>
      </c>
    </row>
    <row r="23" spans="2:28" ht="14.25" customHeight="1" thickBot="1" x14ac:dyDescent="0.3">
      <c r="H23" s="159"/>
      <c r="I23" s="156"/>
      <c r="J23" s="156"/>
      <c r="K23" s="160"/>
      <c r="L23" s="159"/>
      <c r="M23" s="156"/>
      <c r="N23" s="156"/>
      <c r="O23" s="156"/>
      <c r="P23" s="160"/>
      <c r="Q23" s="159"/>
      <c r="R23" s="156"/>
      <c r="S23" s="160"/>
      <c r="U23" s="161"/>
      <c r="V23" s="162"/>
      <c r="W23" s="162"/>
      <c r="X23" s="163"/>
      <c r="Y23" s="158"/>
    </row>
    <row r="24" spans="2:28" ht="15.75" thickBot="1" x14ac:dyDescent="0.3">
      <c r="H24" s="161"/>
      <c r="I24" s="162"/>
      <c r="J24" s="162"/>
      <c r="K24" s="163"/>
      <c r="L24" s="161"/>
      <c r="M24" s="162"/>
      <c r="N24" s="162"/>
      <c r="O24" s="162"/>
      <c r="P24" s="163"/>
      <c r="Q24" s="161"/>
      <c r="R24" s="162"/>
      <c r="S24" s="163"/>
      <c r="U24" s="164" t="s">
        <v>41</v>
      </c>
      <c r="V24" s="165"/>
      <c r="W24" s="165"/>
      <c r="X24" s="166"/>
      <c r="Y24" s="12">
        <v>53</v>
      </c>
    </row>
    <row r="25" spans="2:28" ht="15.75" thickBot="1" x14ac:dyDescent="0.3">
      <c r="U25" s="164" t="s">
        <v>145</v>
      </c>
      <c r="V25" s="165"/>
      <c r="W25" s="165"/>
      <c r="X25" s="166"/>
      <c r="Y25" s="12">
        <v>61</v>
      </c>
    </row>
    <row r="26" spans="2:28" ht="15.75" thickBot="1" x14ac:dyDescent="0.3">
      <c r="U26" s="164" t="s">
        <v>43</v>
      </c>
      <c r="V26" s="165"/>
      <c r="W26" s="165"/>
      <c r="X26" s="166"/>
      <c r="Y26" s="78">
        <v>20</v>
      </c>
    </row>
    <row r="27" spans="2:28" ht="18.75" customHeight="1" x14ac:dyDescent="0.25"/>
    <row r="28" spans="2:28" ht="30" customHeight="1" x14ac:dyDescent="0.25"/>
    <row r="34" ht="29.25" customHeight="1" x14ac:dyDescent="0.25"/>
  </sheetData>
  <mergeCells count="30">
    <mergeCell ref="H22:K22"/>
    <mergeCell ref="L22:P24"/>
    <mergeCell ref="Q22:S24"/>
    <mergeCell ref="U22:X23"/>
    <mergeCell ref="Q20:S20"/>
    <mergeCell ref="H21:K21"/>
    <mergeCell ref="L21:P21"/>
    <mergeCell ref="Q21:S21"/>
    <mergeCell ref="U21:X21"/>
    <mergeCell ref="U25:X25"/>
    <mergeCell ref="U26:X26"/>
    <mergeCell ref="V2:Z2"/>
    <mergeCell ref="AA2:AB2"/>
    <mergeCell ref="I2:J2"/>
    <mergeCell ref="K2:K3"/>
    <mergeCell ref="L2:O2"/>
    <mergeCell ref="P2:S2"/>
    <mergeCell ref="T2:T3"/>
    <mergeCell ref="U2:U3"/>
    <mergeCell ref="Y22:Y23"/>
    <mergeCell ref="H23:K23"/>
    <mergeCell ref="H24:K24"/>
    <mergeCell ref="U24:X24"/>
    <mergeCell ref="H20:K20"/>
    <mergeCell ref="L20:P20"/>
    <mergeCell ref="A1:AC1"/>
    <mergeCell ref="AC2:AC3"/>
    <mergeCell ref="A2:A3"/>
    <mergeCell ref="B2:F2"/>
    <mergeCell ref="G2:H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31"/>
  <sheetViews>
    <sheetView workbookViewId="0"/>
  </sheetViews>
  <sheetFormatPr defaultRowHeight="15" x14ac:dyDescent="0.25"/>
  <cols>
    <col min="12" max="12" width="11" bestFit="1" customWidth="1"/>
    <col min="27" max="27" width="14.42578125" customWidth="1"/>
  </cols>
  <sheetData>
    <row r="1" spans="2:27" x14ac:dyDescent="0.25">
      <c r="B1" s="131" t="s">
        <v>133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3"/>
    </row>
    <row r="2" spans="2:27" x14ac:dyDescent="0.25"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6"/>
    </row>
    <row r="3" spans="2:27" x14ac:dyDescent="0.25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6"/>
    </row>
    <row r="4" spans="2:27" ht="15.75" thickBot="1" x14ac:dyDescent="0.3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9"/>
    </row>
    <row r="5" spans="2:27" ht="15.75" thickBot="1" x14ac:dyDescent="0.3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2"/>
    </row>
    <row r="6" spans="2:27" ht="15.75" thickBot="1" x14ac:dyDescent="0.3">
      <c r="B6" s="143" t="s">
        <v>1</v>
      </c>
      <c r="C6" s="145" t="s">
        <v>136</v>
      </c>
      <c r="D6" s="1"/>
      <c r="E6" s="147" t="s">
        <v>3</v>
      </c>
      <c r="F6" s="148"/>
      <c r="G6" s="149"/>
      <c r="H6" s="150" t="s">
        <v>4</v>
      </c>
      <c r="I6" s="151"/>
      <c r="J6" s="150" t="s">
        <v>5</v>
      </c>
      <c r="K6" s="151"/>
      <c r="L6" s="150" t="s">
        <v>6</v>
      </c>
      <c r="M6" s="152"/>
      <c r="N6" s="152"/>
      <c r="O6" s="151"/>
      <c r="P6" s="145" t="s">
        <v>47</v>
      </c>
      <c r="Q6" s="153" t="s">
        <v>8</v>
      </c>
      <c r="R6" s="150" t="s">
        <v>9</v>
      </c>
      <c r="S6" s="152"/>
      <c r="T6" s="152"/>
      <c r="U6" s="151"/>
      <c r="V6" s="150" t="s">
        <v>10</v>
      </c>
      <c r="W6" s="152"/>
      <c r="X6" s="152"/>
      <c r="Y6" s="151"/>
      <c r="Z6" s="145" t="s">
        <v>11</v>
      </c>
      <c r="AA6" s="145" t="s">
        <v>12</v>
      </c>
    </row>
    <row r="7" spans="2:27" ht="60.75" thickBot="1" x14ac:dyDescent="0.3">
      <c r="B7" s="144"/>
      <c r="C7" s="146"/>
      <c r="D7" s="114" t="s">
        <v>13</v>
      </c>
      <c r="E7" s="112" t="s">
        <v>14</v>
      </c>
      <c r="F7" s="112" t="s">
        <v>15</v>
      </c>
      <c r="G7" s="113" t="s">
        <v>16</v>
      </c>
      <c r="H7" s="5" t="s">
        <v>17</v>
      </c>
      <c r="I7" s="3" t="s">
        <v>18</v>
      </c>
      <c r="J7" s="3" t="s">
        <v>19</v>
      </c>
      <c r="K7" s="3" t="s">
        <v>20</v>
      </c>
      <c r="L7" s="4" t="s">
        <v>22</v>
      </c>
      <c r="M7" s="6" t="s">
        <v>23</v>
      </c>
      <c r="N7" s="4" t="s">
        <v>24</v>
      </c>
      <c r="O7" s="24" t="s">
        <v>25</v>
      </c>
      <c r="P7" s="146"/>
      <c r="Q7" s="154"/>
      <c r="R7" s="109" t="s">
        <v>26</v>
      </c>
      <c r="S7" s="108" t="s">
        <v>27</v>
      </c>
      <c r="T7" s="108" t="s">
        <v>28</v>
      </c>
      <c r="U7" s="108" t="s">
        <v>29</v>
      </c>
      <c r="V7" s="110" t="s">
        <v>30</v>
      </c>
      <c r="W7" s="110" t="s">
        <v>31</v>
      </c>
      <c r="X7" s="110" t="s">
        <v>32</v>
      </c>
      <c r="Y7" s="111" t="s">
        <v>26</v>
      </c>
      <c r="Z7" s="146"/>
      <c r="AA7" s="146"/>
    </row>
    <row r="8" spans="2:27" ht="15.75" thickBot="1" x14ac:dyDescent="0.3">
      <c r="B8" s="8">
        <v>45505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2">
        <v>0</v>
      </c>
    </row>
    <row r="9" spans="2:27" ht="15.75" thickBot="1" x14ac:dyDescent="0.3">
      <c r="B9" s="8">
        <v>45536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2">
        <v>0</v>
      </c>
    </row>
    <row r="10" spans="2:27" ht="15.75" thickBot="1" x14ac:dyDescent="0.3">
      <c r="B10" s="8">
        <v>45566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2">
        <v>0</v>
      </c>
    </row>
    <row r="11" spans="2:27" ht="15.75" thickBot="1" x14ac:dyDescent="0.3">
      <c r="B11" s="8">
        <v>45597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2">
        <v>0</v>
      </c>
    </row>
    <row r="12" spans="2:27" ht="15.75" thickBot="1" x14ac:dyDescent="0.3">
      <c r="B12" s="8">
        <v>45627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2">
        <v>0</v>
      </c>
    </row>
    <row r="13" spans="2:27" ht="15.75" thickBot="1" x14ac:dyDescent="0.3">
      <c r="B13" s="8">
        <v>45658</v>
      </c>
      <c r="C13" s="10">
        <v>0</v>
      </c>
      <c r="D13" s="10">
        <v>0.5</v>
      </c>
      <c r="E13" s="10">
        <v>0.5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2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0">
        <v>0</v>
      </c>
      <c r="S13" s="10">
        <v>0</v>
      </c>
      <c r="T13" s="10">
        <v>0</v>
      </c>
      <c r="U13" s="11">
        <v>0.5</v>
      </c>
      <c r="V13" s="11">
        <v>0</v>
      </c>
      <c r="W13" s="10">
        <v>0</v>
      </c>
      <c r="X13" s="10">
        <v>0</v>
      </c>
      <c r="Y13" s="10">
        <v>0</v>
      </c>
      <c r="Z13" s="11">
        <v>0</v>
      </c>
      <c r="AA13" s="11">
        <v>2</v>
      </c>
    </row>
    <row r="14" spans="2:27" ht="15.75" thickBot="1" x14ac:dyDescent="0.3">
      <c r="B14" s="8">
        <v>45689</v>
      </c>
      <c r="C14" s="10">
        <v>2</v>
      </c>
      <c r="D14" s="10">
        <v>0.5</v>
      </c>
      <c r="E14" s="10">
        <v>0.5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2">
        <v>0</v>
      </c>
      <c r="L14" s="13">
        <v>0</v>
      </c>
      <c r="M14" s="13">
        <v>0</v>
      </c>
      <c r="N14" s="13">
        <v>0</v>
      </c>
      <c r="O14" s="13">
        <v>0</v>
      </c>
      <c r="P14" s="13">
        <v>2</v>
      </c>
      <c r="Q14" s="13">
        <v>7</v>
      </c>
      <c r="R14" s="10">
        <v>0</v>
      </c>
      <c r="S14" s="10">
        <v>0</v>
      </c>
      <c r="T14" s="10">
        <v>0</v>
      </c>
      <c r="U14" s="11">
        <v>0.5</v>
      </c>
      <c r="V14" s="11">
        <v>1</v>
      </c>
      <c r="W14" s="10">
        <v>0</v>
      </c>
      <c r="X14" s="10">
        <v>0</v>
      </c>
      <c r="Y14" s="10">
        <v>0</v>
      </c>
      <c r="Z14" s="11">
        <v>0</v>
      </c>
      <c r="AA14" s="11">
        <v>0</v>
      </c>
    </row>
    <row r="15" spans="2:27" ht="15.75" thickBot="1" x14ac:dyDescent="0.3">
      <c r="B15" s="8">
        <v>45717</v>
      </c>
      <c r="C15" s="10">
        <v>1.5</v>
      </c>
      <c r="D15" s="10">
        <v>2.2999999999999998</v>
      </c>
      <c r="E15" s="10">
        <v>0</v>
      </c>
      <c r="F15" s="10">
        <v>0</v>
      </c>
      <c r="G15" s="10">
        <v>0</v>
      </c>
      <c r="H15" s="10">
        <v>0</v>
      </c>
      <c r="I15" s="10">
        <v>7</v>
      </c>
      <c r="J15" s="10">
        <v>0</v>
      </c>
      <c r="K15" s="12">
        <v>0</v>
      </c>
      <c r="L15" s="13">
        <v>1</v>
      </c>
      <c r="M15" s="13">
        <v>0</v>
      </c>
      <c r="N15" s="13">
        <v>0</v>
      </c>
      <c r="O15" s="13">
        <v>3</v>
      </c>
      <c r="P15" s="13">
        <v>3</v>
      </c>
      <c r="Q15" s="13">
        <v>4</v>
      </c>
      <c r="R15" s="10">
        <v>0</v>
      </c>
      <c r="S15" s="10">
        <v>0</v>
      </c>
      <c r="T15" s="10">
        <v>0</v>
      </c>
      <c r="U15" s="11">
        <v>0</v>
      </c>
      <c r="V15" s="11">
        <v>1</v>
      </c>
      <c r="W15" s="10">
        <v>0</v>
      </c>
      <c r="X15" s="10">
        <v>0</v>
      </c>
      <c r="Y15" s="10">
        <v>0</v>
      </c>
      <c r="Z15" s="11">
        <v>0</v>
      </c>
      <c r="AA15" s="11">
        <v>0</v>
      </c>
    </row>
    <row r="16" spans="2:27" ht="15.75" thickBot="1" x14ac:dyDescent="0.3">
      <c r="B16" s="8">
        <v>45748</v>
      </c>
      <c r="C16" s="10">
        <v>1.5</v>
      </c>
      <c r="D16" s="10">
        <v>6.3</v>
      </c>
      <c r="E16" s="10">
        <v>1</v>
      </c>
      <c r="F16" s="10">
        <v>0</v>
      </c>
      <c r="G16" s="10">
        <v>0</v>
      </c>
      <c r="H16" s="10">
        <v>0</v>
      </c>
      <c r="I16" s="10">
        <v>16</v>
      </c>
      <c r="J16" s="10">
        <v>0</v>
      </c>
      <c r="K16" s="12">
        <v>0</v>
      </c>
      <c r="L16" s="13">
        <v>0</v>
      </c>
      <c r="M16" s="13">
        <v>23</v>
      </c>
      <c r="N16" s="13">
        <v>0</v>
      </c>
      <c r="O16" s="13">
        <v>25</v>
      </c>
      <c r="P16" s="13">
        <v>5</v>
      </c>
      <c r="Q16" s="13">
        <v>7</v>
      </c>
      <c r="R16" s="10">
        <v>0</v>
      </c>
      <c r="S16" s="10">
        <v>0</v>
      </c>
      <c r="T16" s="10">
        <v>0</v>
      </c>
      <c r="U16" s="11">
        <v>1</v>
      </c>
      <c r="V16" s="11">
        <v>1</v>
      </c>
      <c r="W16" s="10">
        <v>0</v>
      </c>
      <c r="X16" s="10">
        <v>0</v>
      </c>
      <c r="Y16" s="10">
        <v>0</v>
      </c>
      <c r="Z16" s="11">
        <v>1</v>
      </c>
      <c r="AA16" s="11">
        <v>2.5</v>
      </c>
    </row>
    <row r="17" spans="2:27" ht="15.75" thickBot="1" x14ac:dyDescent="0.3">
      <c r="B17" s="8">
        <v>45778</v>
      </c>
      <c r="C17" s="10">
        <v>2</v>
      </c>
      <c r="D17" s="10">
        <v>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2">
        <v>0</v>
      </c>
      <c r="L17" s="13">
        <v>0</v>
      </c>
      <c r="M17" s="13">
        <v>3</v>
      </c>
      <c r="N17" s="13">
        <v>0</v>
      </c>
      <c r="O17" s="13">
        <v>3</v>
      </c>
      <c r="P17" s="13">
        <v>5</v>
      </c>
      <c r="Q17" s="13">
        <v>12</v>
      </c>
      <c r="R17" s="10">
        <v>0</v>
      </c>
      <c r="S17" s="10">
        <v>0</v>
      </c>
      <c r="T17" s="10">
        <v>0</v>
      </c>
      <c r="U17" s="11">
        <v>1</v>
      </c>
      <c r="V17" s="11">
        <v>5</v>
      </c>
      <c r="W17" s="10">
        <v>0</v>
      </c>
      <c r="X17" s="10">
        <v>0</v>
      </c>
      <c r="Y17" s="10">
        <v>0</v>
      </c>
      <c r="Z17" s="10">
        <v>0</v>
      </c>
      <c r="AA17" s="11">
        <v>1</v>
      </c>
    </row>
    <row r="18" spans="2:27" ht="15.75" thickBot="1" x14ac:dyDescent="0.3">
      <c r="B18" s="8">
        <v>45809</v>
      </c>
      <c r="C18" s="10">
        <v>1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</v>
      </c>
      <c r="K18" s="12">
        <v>0</v>
      </c>
      <c r="L18" s="13">
        <v>0</v>
      </c>
      <c r="M18" s="13">
        <v>0</v>
      </c>
      <c r="N18" s="13">
        <v>0</v>
      </c>
      <c r="O18" s="13">
        <v>0</v>
      </c>
      <c r="P18" s="13">
        <v>3</v>
      </c>
      <c r="Q18" s="13">
        <v>3</v>
      </c>
      <c r="R18" s="10">
        <v>0</v>
      </c>
      <c r="S18" s="10">
        <v>0</v>
      </c>
      <c r="T18" s="10">
        <v>0</v>
      </c>
      <c r="U18" s="11">
        <v>0.5</v>
      </c>
      <c r="V18" s="11">
        <v>1</v>
      </c>
      <c r="W18" s="10">
        <v>0</v>
      </c>
      <c r="X18" s="10">
        <v>0</v>
      </c>
      <c r="Y18" s="10">
        <v>0</v>
      </c>
      <c r="Z18" s="10">
        <v>0</v>
      </c>
      <c r="AA18" s="190" t="s">
        <v>137</v>
      </c>
    </row>
    <row r="19" spans="2:27" ht="15.75" thickBot="1" x14ac:dyDescent="0.3">
      <c r="B19" s="8">
        <v>45839</v>
      </c>
      <c r="C19" s="10">
        <v>3</v>
      </c>
      <c r="D19" s="10">
        <v>3</v>
      </c>
      <c r="E19" s="12">
        <v>1</v>
      </c>
      <c r="F19" s="14">
        <v>2</v>
      </c>
      <c r="G19" s="10">
        <v>0</v>
      </c>
      <c r="H19" s="10">
        <v>0</v>
      </c>
      <c r="I19" s="15">
        <v>0</v>
      </c>
      <c r="J19" s="10">
        <v>0</v>
      </c>
      <c r="K19" s="10">
        <v>0</v>
      </c>
      <c r="L19" s="15">
        <v>0</v>
      </c>
      <c r="M19" s="13">
        <v>0</v>
      </c>
      <c r="N19" s="13">
        <v>0</v>
      </c>
      <c r="O19" s="15">
        <v>0</v>
      </c>
      <c r="P19" s="16">
        <v>0</v>
      </c>
      <c r="Q19" s="16">
        <v>0</v>
      </c>
      <c r="R19" s="11">
        <v>0</v>
      </c>
      <c r="S19" s="11">
        <v>0</v>
      </c>
      <c r="T19" s="11">
        <v>0</v>
      </c>
      <c r="U19" s="11">
        <v>1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91"/>
    </row>
    <row r="20" spans="2:27" ht="15.75" thickBot="1" x14ac:dyDescent="0.3">
      <c r="B20" s="8"/>
      <c r="C20" s="8"/>
      <c r="D20" s="8"/>
      <c r="E20" s="12"/>
      <c r="F20" s="18"/>
      <c r="G20" s="12"/>
      <c r="H20" s="18"/>
      <c r="I20" s="12"/>
      <c r="J20" s="10"/>
      <c r="K20" s="12"/>
      <c r="L20" s="12"/>
      <c r="M20" s="18"/>
      <c r="N20" s="12"/>
      <c r="O20" s="12"/>
      <c r="P20" s="13"/>
      <c r="Q20" s="13"/>
      <c r="R20" s="19"/>
      <c r="S20" s="19"/>
      <c r="T20" s="19"/>
      <c r="U20" s="19"/>
      <c r="V20" s="19"/>
      <c r="W20" s="19"/>
      <c r="X20" s="19"/>
      <c r="Y20" s="19"/>
      <c r="Z20" s="19"/>
      <c r="AA20" s="17"/>
    </row>
    <row r="21" spans="2:27" ht="15.75" thickBot="1" x14ac:dyDescent="0.3">
      <c r="B21" s="8"/>
      <c r="C21" s="8"/>
      <c r="D21" s="8"/>
      <c r="E21" s="12"/>
      <c r="F21" s="18"/>
      <c r="G21" s="12"/>
      <c r="H21" s="18"/>
      <c r="I21" s="12"/>
      <c r="J21" s="18"/>
      <c r="K21" s="12"/>
      <c r="L21" s="12"/>
      <c r="M21" s="18"/>
      <c r="N21" s="12"/>
      <c r="O21" s="12"/>
      <c r="P21" s="13"/>
      <c r="Q21" s="13"/>
      <c r="R21" s="19"/>
      <c r="S21" s="19"/>
      <c r="T21" s="19"/>
      <c r="U21" s="19"/>
      <c r="V21" s="19"/>
      <c r="W21" s="19"/>
      <c r="X21" s="19"/>
      <c r="Y21" s="19"/>
      <c r="Z21" s="19"/>
      <c r="AA21" s="17"/>
    </row>
    <row r="22" spans="2:27" ht="15.75" thickBot="1" x14ac:dyDescent="0.3">
      <c r="B22" s="8"/>
      <c r="C22" s="8"/>
      <c r="D22" s="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2:27" ht="15.75" thickBot="1" x14ac:dyDescent="0.3">
      <c r="C23" s="21">
        <f>SUM(C8:C19)</f>
        <v>11</v>
      </c>
      <c r="D23" s="21">
        <f t="shared" ref="D23:AA23" si="0">SUM(D8:D19)</f>
        <v>14.1</v>
      </c>
      <c r="E23" s="21">
        <f t="shared" si="0"/>
        <v>4</v>
      </c>
      <c r="F23" s="21">
        <f t="shared" si="0"/>
        <v>2.5</v>
      </c>
      <c r="G23" s="21">
        <f t="shared" si="0"/>
        <v>0</v>
      </c>
      <c r="H23" s="21">
        <f t="shared" si="0"/>
        <v>0</v>
      </c>
      <c r="I23" s="21">
        <f t="shared" si="0"/>
        <v>23</v>
      </c>
      <c r="J23" s="21">
        <f t="shared" si="0"/>
        <v>0</v>
      </c>
      <c r="K23" s="21">
        <f t="shared" si="0"/>
        <v>0</v>
      </c>
      <c r="L23" s="21">
        <f t="shared" si="0"/>
        <v>1</v>
      </c>
      <c r="M23" s="21">
        <f t="shared" si="0"/>
        <v>26</v>
      </c>
      <c r="N23" s="21">
        <f t="shared" si="0"/>
        <v>0</v>
      </c>
      <c r="O23" s="21">
        <f t="shared" si="0"/>
        <v>31</v>
      </c>
      <c r="P23" s="21"/>
      <c r="Q23" s="21">
        <f t="shared" si="0"/>
        <v>33</v>
      </c>
      <c r="R23" s="21">
        <f t="shared" si="0"/>
        <v>0</v>
      </c>
      <c r="S23" s="21">
        <f t="shared" si="0"/>
        <v>0</v>
      </c>
      <c r="T23" s="21">
        <f t="shared" si="0"/>
        <v>0</v>
      </c>
      <c r="U23" s="21">
        <f t="shared" si="0"/>
        <v>4.5</v>
      </c>
      <c r="V23" s="21">
        <f t="shared" si="0"/>
        <v>9</v>
      </c>
      <c r="W23" s="21">
        <f t="shared" si="0"/>
        <v>0</v>
      </c>
      <c r="X23" s="21">
        <f t="shared" si="0"/>
        <v>0</v>
      </c>
      <c r="Y23" s="21">
        <f t="shared" si="0"/>
        <v>0</v>
      </c>
      <c r="Z23" s="21">
        <f t="shared" si="0"/>
        <v>1</v>
      </c>
      <c r="AA23" s="21">
        <f t="shared" si="0"/>
        <v>5.5</v>
      </c>
    </row>
    <row r="24" spans="2:27" ht="15.75" thickBot="1" x14ac:dyDescent="0.3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2:27" ht="15.75" thickBot="1" x14ac:dyDescent="0.3">
      <c r="B25" s="164" t="s">
        <v>36</v>
      </c>
      <c r="C25" s="165"/>
      <c r="D25" s="165"/>
      <c r="E25" s="166"/>
      <c r="F25" s="164" t="s">
        <v>37</v>
      </c>
      <c r="G25" s="165"/>
      <c r="H25" s="165"/>
      <c r="I25" s="165"/>
      <c r="J25" s="166"/>
      <c r="K25" s="164" t="s">
        <v>38</v>
      </c>
      <c r="L25" s="166"/>
    </row>
    <row r="26" spans="2:27" ht="15.75" thickBot="1" x14ac:dyDescent="0.3">
      <c r="B26" s="167"/>
      <c r="C26" s="168"/>
      <c r="D26" s="168"/>
      <c r="E26" s="169"/>
      <c r="F26" s="167"/>
      <c r="G26" s="168"/>
      <c r="H26" s="168"/>
      <c r="I26" s="168"/>
      <c r="J26" s="169"/>
      <c r="K26" s="167"/>
      <c r="L26" s="169"/>
      <c r="N26" s="164" t="s">
        <v>39</v>
      </c>
      <c r="O26" s="165"/>
      <c r="P26" s="165"/>
      <c r="Q26" s="166"/>
      <c r="R26" s="12">
        <v>4</v>
      </c>
    </row>
    <row r="27" spans="2:27" x14ac:dyDescent="0.25">
      <c r="B27" s="159"/>
      <c r="C27" s="156"/>
      <c r="D27" s="156"/>
      <c r="E27" s="160"/>
      <c r="F27" s="159"/>
      <c r="G27" s="156"/>
      <c r="H27" s="156"/>
      <c r="I27" s="156"/>
      <c r="J27" s="160"/>
      <c r="K27" s="159"/>
      <c r="L27" s="160"/>
      <c r="N27" s="167" t="s">
        <v>40</v>
      </c>
      <c r="O27" s="168"/>
      <c r="P27" s="168"/>
      <c r="Q27" s="169"/>
      <c r="R27" s="157">
        <v>2.5</v>
      </c>
      <c r="S27" s="22"/>
      <c r="T27" s="22"/>
      <c r="U27" s="22"/>
    </row>
    <row r="28" spans="2:27" ht="15.75" thickBot="1" x14ac:dyDescent="0.3">
      <c r="B28" s="159"/>
      <c r="C28" s="156"/>
      <c r="D28" s="156"/>
      <c r="E28" s="160"/>
      <c r="F28" s="159"/>
      <c r="G28" s="156"/>
      <c r="H28" s="156"/>
      <c r="I28" s="156"/>
      <c r="J28" s="160"/>
      <c r="K28" s="159"/>
      <c r="L28" s="160"/>
      <c r="N28" s="161"/>
      <c r="O28" s="162"/>
      <c r="P28" s="162"/>
      <c r="Q28" s="163"/>
      <c r="R28" s="158"/>
      <c r="S28" s="22"/>
      <c r="T28" s="22"/>
      <c r="U28" s="22"/>
    </row>
    <row r="29" spans="2:27" ht="15.75" thickBot="1" x14ac:dyDescent="0.3">
      <c r="B29" s="161"/>
      <c r="C29" s="162"/>
      <c r="D29" s="162"/>
      <c r="E29" s="163"/>
      <c r="F29" s="161"/>
      <c r="G29" s="162"/>
      <c r="H29" s="162"/>
      <c r="I29" s="162"/>
      <c r="J29" s="163"/>
      <c r="K29" s="161"/>
      <c r="L29" s="163"/>
      <c r="N29" s="164" t="s">
        <v>41</v>
      </c>
      <c r="O29" s="165"/>
      <c r="P29" s="165"/>
      <c r="Q29" s="166"/>
      <c r="R29" s="12">
        <v>0</v>
      </c>
    </row>
    <row r="30" spans="2:27" ht="15.75" thickBot="1" x14ac:dyDescent="0.3">
      <c r="N30" s="164" t="s">
        <v>145</v>
      </c>
      <c r="O30" s="165"/>
      <c r="P30" s="165"/>
      <c r="Q30" s="166"/>
      <c r="R30" s="12">
        <v>23</v>
      </c>
    </row>
    <row r="31" spans="2:27" ht="15.75" thickBot="1" x14ac:dyDescent="0.3">
      <c r="N31" s="164" t="s">
        <v>43</v>
      </c>
      <c r="O31" s="165"/>
      <c r="P31" s="165"/>
      <c r="Q31" s="166"/>
      <c r="R31" s="78">
        <v>0</v>
      </c>
    </row>
  </sheetData>
  <mergeCells count="33">
    <mergeCell ref="B1:AA4"/>
    <mergeCell ref="B5:AA5"/>
    <mergeCell ref="B6:B7"/>
    <mergeCell ref="C6:C7"/>
    <mergeCell ref="E6:G6"/>
    <mergeCell ref="H6:I6"/>
    <mergeCell ref="J6:K6"/>
    <mergeCell ref="L6:O6"/>
    <mergeCell ref="P6:P7"/>
    <mergeCell ref="Q6:Q7"/>
    <mergeCell ref="R6:U6"/>
    <mergeCell ref="V6:Y6"/>
    <mergeCell ref="N29:Q29"/>
    <mergeCell ref="AA18:AA19"/>
    <mergeCell ref="B25:E25"/>
    <mergeCell ref="F25:J25"/>
    <mergeCell ref="K25:L25"/>
    <mergeCell ref="N30:Q30"/>
    <mergeCell ref="Z6:Z7"/>
    <mergeCell ref="AA6:AA7"/>
    <mergeCell ref="B24:Q24"/>
    <mergeCell ref="N31:Q31"/>
    <mergeCell ref="B26:E26"/>
    <mergeCell ref="F26:J26"/>
    <mergeCell ref="K26:L26"/>
    <mergeCell ref="N26:Q26"/>
    <mergeCell ref="B27:E27"/>
    <mergeCell ref="F27:J29"/>
    <mergeCell ref="K27:L29"/>
    <mergeCell ref="N27:Q28"/>
    <mergeCell ref="R27:R28"/>
    <mergeCell ref="B28:E28"/>
    <mergeCell ref="B29:E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workbookViewId="0">
      <selection sqref="A1:AC1"/>
    </sheetView>
  </sheetViews>
  <sheetFormatPr defaultRowHeight="15" x14ac:dyDescent="0.25"/>
  <cols>
    <col min="2" max="2" width="8.5703125" bestFit="1" customWidth="1"/>
    <col min="3" max="4" width="6" bestFit="1" customWidth="1"/>
    <col min="5" max="5" width="7.7109375" customWidth="1"/>
    <col min="6" max="6" width="6.5703125" bestFit="1" customWidth="1"/>
    <col min="7" max="7" width="6.85546875" bestFit="1" customWidth="1"/>
    <col min="8" max="8" width="14.140625" customWidth="1"/>
    <col min="9" max="10" width="11.140625" bestFit="1" customWidth="1"/>
    <col min="11" max="11" width="11.140625" customWidth="1"/>
    <col min="12" max="12" width="12.42578125" bestFit="1" customWidth="1"/>
    <col min="13" max="13" width="8.140625" bestFit="1" customWidth="1"/>
    <col min="14" max="14" width="7.140625" customWidth="1"/>
    <col min="19" max="19" width="9.28515625" customWidth="1"/>
    <col min="20" max="20" width="12.140625" bestFit="1" customWidth="1"/>
    <col min="22" max="22" width="11.140625" customWidth="1"/>
    <col min="28" max="28" width="13.85546875" customWidth="1"/>
    <col min="29" max="29" width="184.5703125" customWidth="1"/>
  </cols>
  <sheetData>
    <row r="1" spans="1:29" ht="36.75" customHeight="1" thickBot="1" x14ac:dyDescent="0.3">
      <c r="A1" s="170" t="s">
        <v>130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2"/>
    </row>
    <row r="2" spans="1:29" ht="24" customHeight="1" thickBot="1" x14ac:dyDescent="0.3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4" t="s">
        <v>44</v>
      </c>
    </row>
    <row r="3" spans="1:29" s="79" customFormat="1" ht="15.75" customHeight="1" thickBot="1" x14ac:dyDescent="0.3">
      <c r="A3" s="174" t="s">
        <v>1</v>
      </c>
      <c r="B3" s="176" t="s">
        <v>3</v>
      </c>
      <c r="C3" s="177"/>
      <c r="D3" s="177"/>
      <c r="E3" s="177"/>
      <c r="F3" s="178"/>
      <c r="G3" s="179" t="s">
        <v>4</v>
      </c>
      <c r="H3" s="180"/>
      <c r="I3" s="179" t="s">
        <v>5</v>
      </c>
      <c r="J3" s="180"/>
      <c r="K3" s="185" t="s">
        <v>45</v>
      </c>
      <c r="L3" s="179" t="s">
        <v>6</v>
      </c>
      <c r="M3" s="187"/>
      <c r="N3" s="187"/>
      <c r="O3" s="180"/>
      <c r="P3" s="179" t="s">
        <v>46</v>
      </c>
      <c r="Q3" s="187"/>
      <c r="R3" s="187"/>
      <c r="S3" s="180"/>
      <c r="T3" s="188" t="s">
        <v>47</v>
      </c>
      <c r="U3" s="174" t="s">
        <v>48</v>
      </c>
      <c r="V3" s="175" t="s">
        <v>49</v>
      </c>
      <c r="W3" s="181"/>
      <c r="X3" s="181"/>
      <c r="Y3" s="181"/>
      <c r="Z3" s="182"/>
      <c r="AA3" s="183" t="s">
        <v>50</v>
      </c>
      <c r="AB3" s="184"/>
      <c r="AC3" s="173"/>
    </row>
    <row r="4" spans="1:29" s="79" customFormat="1" ht="54" customHeight="1" thickBot="1" x14ac:dyDescent="0.3">
      <c r="A4" s="175"/>
      <c r="B4" s="71" t="s">
        <v>2</v>
      </c>
      <c r="C4" s="117" t="s">
        <v>26</v>
      </c>
      <c r="D4" s="115" t="s">
        <v>14</v>
      </c>
      <c r="E4" s="115" t="s">
        <v>15</v>
      </c>
      <c r="F4" s="116" t="s">
        <v>16</v>
      </c>
      <c r="G4" s="72" t="s">
        <v>17</v>
      </c>
      <c r="H4" s="73" t="s">
        <v>18</v>
      </c>
      <c r="I4" s="73" t="s">
        <v>19</v>
      </c>
      <c r="J4" s="73" t="s">
        <v>20</v>
      </c>
      <c r="K4" s="186"/>
      <c r="L4" s="74" t="s">
        <v>22</v>
      </c>
      <c r="M4" s="74" t="s">
        <v>23</v>
      </c>
      <c r="N4" s="75" t="s">
        <v>51</v>
      </c>
      <c r="O4" s="76" t="s">
        <v>25</v>
      </c>
      <c r="P4" s="118" t="s">
        <v>52</v>
      </c>
      <c r="Q4" s="119" t="s">
        <v>53</v>
      </c>
      <c r="R4" s="120" t="s">
        <v>54</v>
      </c>
      <c r="S4" s="121" t="s">
        <v>26</v>
      </c>
      <c r="T4" s="189"/>
      <c r="U4" s="175"/>
      <c r="V4" s="122" t="s">
        <v>30</v>
      </c>
      <c r="W4" s="122" t="s">
        <v>31</v>
      </c>
      <c r="X4" s="123" t="s">
        <v>55</v>
      </c>
      <c r="Y4" s="123" t="s">
        <v>56</v>
      </c>
      <c r="Z4" s="122" t="s">
        <v>26</v>
      </c>
      <c r="AA4" s="77" t="s">
        <v>57</v>
      </c>
      <c r="AB4" s="77" t="s">
        <v>58</v>
      </c>
      <c r="AC4" s="173"/>
    </row>
    <row r="5" spans="1:29" ht="16.5" customHeight="1" thickBot="1" x14ac:dyDescent="0.3">
      <c r="A5" s="41">
        <v>45505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</row>
    <row r="6" spans="1:29" ht="16.5" customHeight="1" thickBot="1" x14ac:dyDescent="0.3">
      <c r="A6" s="41">
        <v>45536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</row>
    <row r="7" spans="1:29" ht="16.5" customHeight="1" thickBot="1" x14ac:dyDescent="0.3">
      <c r="A7" s="41">
        <v>45566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</row>
    <row r="8" spans="1:29" ht="18.75" customHeight="1" thickBot="1" x14ac:dyDescent="0.3">
      <c r="A8" s="41">
        <v>45597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</row>
    <row r="9" spans="1:29" ht="16.5" customHeight="1" thickBot="1" x14ac:dyDescent="0.3">
      <c r="A9" s="41">
        <v>45627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</row>
    <row r="10" spans="1:29" ht="16.5" customHeight="1" thickBot="1" x14ac:dyDescent="0.3">
      <c r="A10" s="41">
        <v>45658</v>
      </c>
      <c r="B10" s="27">
        <v>0</v>
      </c>
      <c r="C10" s="27">
        <v>0</v>
      </c>
      <c r="D10" s="27">
        <v>0</v>
      </c>
      <c r="E10" s="28">
        <v>0</v>
      </c>
      <c r="F10" s="27">
        <v>0</v>
      </c>
      <c r="G10" s="28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</row>
    <row r="11" spans="1:29" ht="16.5" customHeight="1" thickBot="1" x14ac:dyDescent="0.3">
      <c r="A11" s="41">
        <v>45689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3</v>
      </c>
      <c r="N11" s="35">
        <v>0</v>
      </c>
      <c r="O11" s="27">
        <v>3</v>
      </c>
      <c r="P11" s="27">
        <v>0</v>
      </c>
      <c r="Q11" s="27">
        <v>0</v>
      </c>
      <c r="R11" s="27">
        <v>0</v>
      </c>
      <c r="S11" s="28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11">
        <v>0</v>
      </c>
      <c r="AA11" s="12">
        <v>0</v>
      </c>
      <c r="AB11" s="12">
        <v>0</v>
      </c>
      <c r="AC11" s="64" t="s">
        <v>125</v>
      </c>
    </row>
    <row r="12" spans="1:29" ht="16.5" customHeight="1" thickBot="1" x14ac:dyDescent="0.3">
      <c r="A12" s="41">
        <v>45717</v>
      </c>
      <c r="B12" s="27">
        <v>0</v>
      </c>
      <c r="C12" s="27">
        <v>0.6</v>
      </c>
      <c r="D12" s="29">
        <v>0</v>
      </c>
      <c r="E12" s="30">
        <v>0</v>
      </c>
      <c r="F12" s="31">
        <v>0</v>
      </c>
      <c r="G12" s="30">
        <v>0</v>
      </c>
      <c r="H12" s="31">
        <v>2</v>
      </c>
      <c r="I12" s="30">
        <v>0</v>
      </c>
      <c r="J12" s="31">
        <v>0</v>
      </c>
      <c r="K12" s="31">
        <v>0</v>
      </c>
      <c r="L12" s="31">
        <v>4</v>
      </c>
      <c r="M12" s="29">
        <v>54</v>
      </c>
      <c r="N12" s="65">
        <v>0</v>
      </c>
      <c r="O12" s="31">
        <v>37</v>
      </c>
      <c r="P12" s="27">
        <v>0</v>
      </c>
      <c r="Q12" s="27">
        <v>0</v>
      </c>
      <c r="R12" s="27">
        <v>0</v>
      </c>
      <c r="S12" s="30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11">
        <v>0</v>
      </c>
      <c r="AA12" s="12">
        <v>1</v>
      </c>
      <c r="AB12" s="12">
        <v>0</v>
      </c>
      <c r="AC12" s="66" t="s">
        <v>126</v>
      </c>
    </row>
    <row r="13" spans="1:29" ht="16.5" customHeight="1" thickBot="1" x14ac:dyDescent="0.3">
      <c r="A13" s="41">
        <v>45748</v>
      </c>
      <c r="B13" s="27">
        <v>0</v>
      </c>
      <c r="C13" s="27">
        <v>7</v>
      </c>
      <c r="D13" s="27">
        <v>1</v>
      </c>
      <c r="E13" s="28">
        <v>0</v>
      </c>
      <c r="F13" s="27">
        <v>0</v>
      </c>
      <c r="G13" s="28">
        <v>0</v>
      </c>
      <c r="H13" s="27">
        <v>18</v>
      </c>
      <c r="I13" s="28">
        <v>0</v>
      </c>
      <c r="J13" s="27">
        <v>0</v>
      </c>
      <c r="K13" s="27">
        <v>0</v>
      </c>
      <c r="L13" s="27">
        <v>6</v>
      </c>
      <c r="M13" s="27">
        <v>19</v>
      </c>
      <c r="N13" s="35">
        <v>0</v>
      </c>
      <c r="O13" s="27">
        <v>40</v>
      </c>
      <c r="P13" s="27">
        <v>1</v>
      </c>
      <c r="Q13" s="27">
        <v>0</v>
      </c>
      <c r="R13" s="27">
        <v>0</v>
      </c>
      <c r="S13" s="28">
        <v>1</v>
      </c>
      <c r="T13" s="27">
        <v>5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11">
        <v>0</v>
      </c>
      <c r="AA13" s="12">
        <v>0</v>
      </c>
      <c r="AB13" s="12">
        <v>0</v>
      </c>
      <c r="AC13" s="64" t="s">
        <v>127</v>
      </c>
    </row>
    <row r="14" spans="1:29" ht="16.5" customHeight="1" thickBot="1" x14ac:dyDescent="0.3">
      <c r="A14" s="41">
        <v>45778</v>
      </c>
      <c r="B14" s="27">
        <v>2</v>
      </c>
      <c r="C14" s="27">
        <v>2.6</v>
      </c>
      <c r="D14" s="32">
        <v>1</v>
      </c>
      <c r="E14" s="32">
        <v>1</v>
      </c>
      <c r="F14" s="33">
        <v>0</v>
      </c>
      <c r="G14" s="32">
        <v>0</v>
      </c>
      <c r="H14" s="33">
        <v>2</v>
      </c>
      <c r="I14" s="33">
        <v>0</v>
      </c>
      <c r="J14" s="12">
        <v>0</v>
      </c>
      <c r="K14" s="12">
        <v>0</v>
      </c>
      <c r="L14" s="12">
        <v>3</v>
      </c>
      <c r="M14" s="12">
        <v>3</v>
      </c>
      <c r="N14" s="13">
        <v>0</v>
      </c>
      <c r="O14" s="27">
        <v>3</v>
      </c>
      <c r="P14" s="35">
        <v>1</v>
      </c>
      <c r="Q14" s="35">
        <v>0</v>
      </c>
      <c r="R14" s="35">
        <v>0</v>
      </c>
      <c r="S14" s="35">
        <v>1</v>
      </c>
      <c r="T14" s="12">
        <v>5</v>
      </c>
      <c r="U14" s="12">
        <v>0</v>
      </c>
      <c r="V14" s="12">
        <v>1</v>
      </c>
      <c r="W14" s="12">
        <v>0</v>
      </c>
      <c r="X14" s="12">
        <v>0</v>
      </c>
      <c r="Y14" s="12">
        <v>0</v>
      </c>
      <c r="Z14" s="27">
        <v>0</v>
      </c>
      <c r="AA14" s="12">
        <v>0</v>
      </c>
      <c r="AB14" s="12">
        <v>0</v>
      </c>
      <c r="AC14" s="66" t="s">
        <v>128</v>
      </c>
    </row>
    <row r="15" spans="1:29" ht="16.5" customHeight="1" thickBot="1" x14ac:dyDescent="0.3">
      <c r="A15" s="41">
        <v>45809</v>
      </c>
      <c r="B15" s="27">
        <v>3</v>
      </c>
      <c r="C15" s="27">
        <v>3</v>
      </c>
      <c r="D15" s="27">
        <v>0</v>
      </c>
      <c r="E15" s="27">
        <v>3</v>
      </c>
      <c r="F15" s="12">
        <v>0</v>
      </c>
      <c r="G15" s="27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>
        <v>0</v>
      </c>
      <c r="O15" s="27">
        <v>0</v>
      </c>
      <c r="P15" s="35">
        <v>0</v>
      </c>
      <c r="Q15" s="35">
        <v>0</v>
      </c>
      <c r="R15" s="35">
        <v>0</v>
      </c>
      <c r="S15" s="35">
        <v>0</v>
      </c>
      <c r="T15" s="12">
        <v>6</v>
      </c>
      <c r="U15" s="12">
        <v>2</v>
      </c>
      <c r="V15" s="12">
        <v>3</v>
      </c>
      <c r="W15" s="12">
        <v>0</v>
      </c>
      <c r="X15" s="12">
        <v>0</v>
      </c>
      <c r="Y15" s="12">
        <v>0</v>
      </c>
      <c r="Z15" s="27">
        <v>0</v>
      </c>
      <c r="AA15" s="12">
        <v>0</v>
      </c>
      <c r="AB15" s="12">
        <v>0</v>
      </c>
      <c r="AC15" s="64" t="s">
        <v>129</v>
      </c>
    </row>
    <row r="16" spans="1:29" ht="16.5" customHeight="1" thickBot="1" x14ac:dyDescent="0.3">
      <c r="A16" s="41">
        <v>45839</v>
      </c>
      <c r="B16" s="27">
        <v>4</v>
      </c>
      <c r="C16" s="27">
        <v>3</v>
      </c>
      <c r="D16" s="27">
        <v>0</v>
      </c>
      <c r="E16" s="27">
        <v>3</v>
      </c>
      <c r="F16" s="12">
        <v>0</v>
      </c>
      <c r="G16" s="27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 t="s">
        <v>144</v>
      </c>
      <c r="AB16" s="12">
        <v>0</v>
      </c>
      <c r="AC16" s="103" t="s">
        <v>138</v>
      </c>
    </row>
    <row r="17" spans="2:28" ht="15.75" thickBot="1" x14ac:dyDescent="0.3"/>
    <row r="18" spans="2:28" ht="15.75" thickBot="1" x14ac:dyDescent="0.3">
      <c r="B18" s="42">
        <f>SUM(B5:B17)</f>
        <v>9</v>
      </c>
      <c r="C18" s="67">
        <f>SUM(C5:C17)</f>
        <v>16.2</v>
      </c>
      <c r="D18" s="68">
        <f>SUM(D5:D16)</f>
        <v>2</v>
      </c>
      <c r="E18" s="69">
        <f t="shared" ref="E18:AB18" si="0">SUM(E5:E16)</f>
        <v>7</v>
      </c>
      <c r="F18" s="69">
        <f t="shared" si="0"/>
        <v>0</v>
      </c>
      <c r="G18" s="69">
        <f t="shared" si="0"/>
        <v>0</v>
      </c>
      <c r="H18" s="69">
        <f t="shared" si="0"/>
        <v>22</v>
      </c>
      <c r="I18" s="69">
        <f t="shared" si="0"/>
        <v>0</v>
      </c>
      <c r="J18" s="69">
        <f t="shared" si="0"/>
        <v>0</v>
      </c>
      <c r="K18" s="69">
        <f t="shared" si="0"/>
        <v>0</v>
      </c>
      <c r="L18" s="69">
        <f t="shared" si="0"/>
        <v>13</v>
      </c>
      <c r="M18" s="69">
        <f t="shared" si="0"/>
        <v>79</v>
      </c>
      <c r="N18" s="69">
        <v>0</v>
      </c>
      <c r="O18" s="69">
        <f t="shared" si="0"/>
        <v>83</v>
      </c>
      <c r="P18" s="69">
        <f>SUM(P5:P17)</f>
        <v>2</v>
      </c>
      <c r="Q18" s="69">
        <f>SUM(Q5:Q17)</f>
        <v>0</v>
      </c>
      <c r="R18" s="69">
        <f>SUM(R5:R17)</f>
        <v>0</v>
      </c>
      <c r="S18" s="69">
        <f t="shared" si="0"/>
        <v>2</v>
      </c>
      <c r="T18" s="69">
        <f t="shared" si="0"/>
        <v>16</v>
      </c>
      <c r="U18" s="69">
        <f t="shared" si="0"/>
        <v>2</v>
      </c>
      <c r="V18" s="69">
        <f>SUM(V5:V17)</f>
        <v>4</v>
      </c>
      <c r="W18" s="69">
        <f>SUM(W5:W17)</f>
        <v>0</v>
      </c>
      <c r="X18" s="69">
        <f>SUM(X5:X17)</f>
        <v>0</v>
      </c>
      <c r="Y18" s="69">
        <f>SUM(Y5:Y17)</f>
        <v>0</v>
      </c>
      <c r="Z18" s="69">
        <f>SUM(Z5:Z17)</f>
        <v>0</v>
      </c>
      <c r="AA18" s="69">
        <f t="shared" si="0"/>
        <v>1</v>
      </c>
      <c r="AB18" s="68">
        <f t="shared" si="0"/>
        <v>0</v>
      </c>
    </row>
    <row r="22" spans="2:28" ht="15.75" thickBot="1" x14ac:dyDescent="0.3"/>
    <row r="23" spans="2:28" ht="15" customHeight="1" thickBot="1" x14ac:dyDescent="0.3">
      <c r="H23" s="164" t="s">
        <v>36</v>
      </c>
      <c r="I23" s="165"/>
      <c r="J23" s="165"/>
      <c r="K23" s="166"/>
      <c r="L23" s="164" t="s">
        <v>37</v>
      </c>
      <c r="M23" s="165"/>
      <c r="N23" s="165"/>
      <c r="O23" s="165"/>
      <c r="P23" s="166"/>
      <c r="Q23" s="164" t="s">
        <v>38</v>
      </c>
      <c r="R23" s="165"/>
      <c r="S23" s="166"/>
      <c r="Y23" s="14"/>
    </row>
    <row r="24" spans="2:28" ht="14.25" customHeight="1" thickBot="1" x14ac:dyDescent="0.3">
      <c r="H24" s="167"/>
      <c r="I24" s="168"/>
      <c r="J24" s="168"/>
      <c r="K24" s="169"/>
      <c r="L24" s="167"/>
      <c r="M24" s="168"/>
      <c r="N24" s="168"/>
      <c r="O24" s="168"/>
      <c r="P24" s="169"/>
      <c r="Q24" s="167"/>
      <c r="R24" s="168"/>
      <c r="S24" s="169"/>
      <c r="U24" s="164" t="s">
        <v>39</v>
      </c>
      <c r="V24" s="165"/>
      <c r="W24" s="165"/>
      <c r="X24" s="166"/>
      <c r="Y24" s="12">
        <v>2</v>
      </c>
    </row>
    <row r="25" spans="2:28" x14ac:dyDescent="0.25">
      <c r="H25" s="159"/>
      <c r="I25" s="156"/>
      <c r="J25" s="156"/>
      <c r="K25" s="160"/>
      <c r="L25" s="159"/>
      <c r="M25" s="156"/>
      <c r="N25" s="156"/>
      <c r="O25" s="156"/>
      <c r="P25" s="160"/>
      <c r="Q25" s="159"/>
      <c r="R25" s="156"/>
      <c r="S25" s="160"/>
      <c r="U25" s="167" t="s">
        <v>40</v>
      </c>
      <c r="V25" s="168"/>
      <c r="W25" s="168"/>
      <c r="X25" s="169"/>
      <c r="Y25" s="157">
        <v>7</v>
      </c>
    </row>
    <row r="26" spans="2:28" ht="15.75" thickBot="1" x14ac:dyDescent="0.3">
      <c r="H26" s="159"/>
      <c r="I26" s="156"/>
      <c r="J26" s="156"/>
      <c r="K26" s="160"/>
      <c r="L26" s="159"/>
      <c r="M26" s="156"/>
      <c r="N26" s="156"/>
      <c r="O26" s="156"/>
      <c r="P26" s="160"/>
      <c r="Q26" s="159"/>
      <c r="R26" s="156"/>
      <c r="S26" s="160"/>
      <c r="U26" s="161"/>
      <c r="V26" s="162"/>
      <c r="W26" s="162"/>
      <c r="X26" s="163"/>
      <c r="Y26" s="158"/>
    </row>
    <row r="27" spans="2:28" ht="15.75" thickBot="1" x14ac:dyDescent="0.3">
      <c r="H27" s="161"/>
      <c r="I27" s="162"/>
      <c r="J27" s="162"/>
      <c r="K27" s="163"/>
      <c r="L27" s="161"/>
      <c r="M27" s="162"/>
      <c r="N27" s="162"/>
      <c r="O27" s="162"/>
      <c r="P27" s="163"/>
      <c r="Q27" s="161"/>
      <c r="R27" s="162"/>
      <c r="S27" s="163"/>
      <c r="U27" s="164" t="s">
        <v>41</v>
      </c>
      <c r="V27" s="165"/>
      <c r="W27" s="165"/>
      <c r="X27" s="166"/>
      <c r="Y27" s="12">
        <v>0</v>
      </c>
    </row>
    <row r="28" spans="2:28" ht="18.75" customHeight="1" thickBot="1" x14ac:dyDescent="0.3">
      <c r="U28" s="164" t="s">
        <v>145</v>
      </c>
      <c r="V28" s="165"/>
      <c r="W28" s="165"/>
      <c r="X28" s="166"/>
      <c r="Y28" s="12">
        <v>22</v>
      </c>
    </row>
    <row r="29" spans="2:28" ht="30" customHeight="1" thickBot="1" x14ac:dyDescent="0.3">
      <c r="U29" s="164" t="s">
        <v>43</v>
      </c>
      <c r="V29" s="165"/>
      <c r="W29" s="165"/>
      <c r="X29" s="166"/>
      <c r="Y29" s="78">
        <v>0</v>
      </c>
    </row>
    <row r="35" ht="29.25" customHeight="1" x14ac:dyDescent="0.25"/>
  </sheetData>
  <mergeCells count="31">
    <mergeCell ref="U29:X29"/>
    <mergeCell ref="U27:X27"/>
    <mergeCell ref="U28:X28"/>
    <mergeCell ref="L24:P24"/>
    <mergeCell ref="Q24:S24"/>
    <mergeCell ref="U24:X24"/>
    <mergeCell ref="L25:P27"/>
    <mergeCell ref="Q25:S27"/>
    <mergeCell ref="U25:X26"/>
    <mergeCell ref="H27:K27"/>
    <mergeCell ref="T3:T4"/>
    <mergeCell ref="U3:U4"/>
    <mergeCell ref="V3:Z3"/>
    <mergeCell ref="AA3:AB3"/>
    <mergeCell ref="H24:K24"/>
    <mergeCell ref="H25:K25"/>
    <mergeCell ref="H26:K26"/>
    <mergeCell ref="Y25:Y26"/>
    <mergeCell ref="H23:K23"/>
    <mergeCell ref="L23:P23"/>
    <mergeCell ref="Q23:S23"/>
    <mergeCell ref="A1:AC1"/>
    <mergeCell ref="A2:AB2"/>
    <mergeCell ref="AC2:AC4"/>
    <mergeCell ref="A3:A4"/>
    <mergeCell ref="B3:F3"/>
    <mergeCell ref="G3:H3"/>
    <mergeCell ref="I3:J3"/>
    <mergeCell ref="K3:K4"/>
    <mergeCell ref="L3:O3"/>
    <mergeCell ref="P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cols>
    <col min="11" max="11" width="11" bestFit="1" customWidth="1"/>
    <col min="18" max="18" width="10.5703125" customWidth="1"/>
    <col min="19" max="19" width="11.140625" customWidth="1"/>
    <col min="20" max="20" width="7.5703125" customWidth="1"/>
  </cols>
  <sheetData>
    <row r="1" spans="1:26" x14ac:dyDescent="0.25">
      <c r="A1" s="131" t="s">
        <v>116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47</v>
      </c>
      <c r="P6" s="145" t="s">
        <v>117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146"/>
      <c r="P7" s="146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1</v>
      </c>
      <c r="L8" s="10">
        <v>1</v>
      </c>
      <c r="M8" s="10">
        <v>1</v>
      </c>
      <c r="N8" s="10">
        <v>1</v>
      </c>
      <c r="O8" s="10">
        <v>0</v>
      </c>
      <c r="P8" s="10">
        <v>0</v>
      </c>
      <c r="Q8" s="10">
        <v>0</v>
      </c>
      <c r="R8" s="10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</row>
    <row r="9" spans="1:26" ht="15.75" thickBot="1" x14ac:dyDescent="0.3">
      <c r="A9" s="8">
        <v>45536</v>
      </c>
      <c r="B9" s="9">
        <v>0</v>
      </c>
      <c r="C9" s="9">
        <v>2.6</v>
      </c>
      <c r="D9" s="10">
        <v>1</v>
      </c>
      <c r="E9" s="10">
        <v>2</v>
      </c>
      <c r="F9" s="10">
        <v>0</v>
      </c>
      <c r="G9" s="11">
        <v>0</v>
      </c>
      <c r="H9" s="10">
        <v>2</v>
      </c>
      <c r="I9" s="10">
        <v>0</v>
      </c>
      <c r="J9" s="12">
        <v>0</v>
      </c>
      <c r="K9" s="13">
        <v>2</v>
      </c>
      <c r="L9" s="13">
        <v>2</v>
      </c>
      <c r="M9" s="13">
        <v>2</v>
      </c>
      <c r="N9" s="13">
        <v>2</v>
      </c>
      <c r="O9" s="13">
        <v>1</v>
      </c>
      <c r="P9" s="13">
        <v>6</v>
      </c>
      <c r="Q9" s="11">
        <v>1</v>
      </c>
      <c r="R9" s="11">
        <v>5</v>
      </c>
      <c r="S9" s="11">
        <v>0</v>
      </c>
      <c r="T9" s="11">
        <v>4</v>
      </c>
      <c r="U9" s="11">
        <v>1</v>
      </c>
      <c r="V9" s="11">
        <v>0</v>
      </c>
      <c r="W9" s="11">
        <v>0</v>
      </c>
      <c r="X9" s="11">
        <v>1</v>
      </c>
      <c r="Y9" s="11">
        <v>0</v>
      </c>
      <c r="Z9" s="11">
        <v>0</v>
      </c>
    </row>
    <row r="10" spans="1:26" ht="15.75" thickBot="1" x14ac:dyDescent="0.3">
      <c r="A10" s="8">
        <v>45566</v>
      </c>
      <c r="B10" s="9">
        <v>0</v>
      </c>
      <c r="C10" s="9">
        <v>1.6</v>
      </c>
      <c r="D10" s="10">
        <v>1</v>
      </c>
      <c r="E10" s="10">
        <v>0</v>
      </c>
      <c r="F10" s="10">
        <v>0</v>
      </c>
      <c r="G10" s="46">
        <v>0</v>
      </c>
      <c r="H10" s="10">
        <v>2</v>
      </c>
      <c r="I10" s="10">
        <v>0</v>
      </c>
      <c r="J10" s="12">
        <v>0</v>
      </c>
      <c r="K10" s="13">
        <v>2</v>
      </c>
      <c r="L10" s="13">
        <v>2</v>
      </c>
      <c r="M10" s="13">
        <v>1</v>
      </c>
      <c r="N10" s="13">
        <v>1</v>
      </c>
      <c r="O10" s="13">
        <v>0</v>
      </c>
      <c r="P10" s="13">
        <v>3</v>
      </c>
      <c r="Q10" s="11">
        <v>0</v>
      </c>
      <c r="R10" s="11">
        <v>6</v>
      </c>
      <c r="S10" s="11">
        <v>0</v>
      </c>
      <c r="T10" s="11">
        <v>6</v>
      </c>
      <c r="U10" s="11">
        <v>1</v>
      </c>
      <c r="V10" s="11">
        <v>0</v>
      </c>
      <c r="W10" s="11">
        <v>0</v>
      </c>
      <c r="X10" s="11">
        <v>1</v>
      </c>
      <c r="Y10" s="11">
        <v>0</v>
      </c>
      <c r="Z10" s="11">
        <v>1</v>
      </c>
    </row>
    <row r="11" spans="1:26" ht="15.75" thickBot="1" x14ac:dyDescent="0.3">
      <c r="A11" s="8">
        <v>45597</v>
      </c>
      <c r="B11" s="9">
        <v>4</v>
      </c>
      <c r="C11" s="9">
        <v>4.25</v>
      </c>
      <c r="D11" s="10">
        <v>2.5</v>
      </c>
      <c r="E11" s="10">
        <v>0</v>
      </c>
      <c r="F11" s="10">
        <v>0.5</v>
      </c>
      <c r="G11" s="10">
        <v>3</v>
      </c>
      <c r="H11" s="10">
        <v>0</v>
      </c>
      <c r="I11" s="10">
        <v>0</v>
      </c>
      <c r="J11" s="12">
        <v>0</v>
      </c>
      <c r="K11" s="13">
        <v>2</v>
      </c>
      <c r="L11" s="13">
        <v>2</v>
      </c>
      <c r="M11" s="13">
        <v>2</v>
      </c>
      <c r="N11" s="13">
        <v>2</v>
      </c>
      <c r="O11" s="13">
        <v>6</v>
      </c>
      <c r="P11" s="13">
        <v>19</v>
      </c>
      <c r="Q11" s="11">
        <v>22</v>
      </c>
      <c r="R11" s="11">
        <v>17</v>
      </c>
      <c r="S11" s="11">
        <v>1</v>
      </c>
      <c r="T11" s="11">
        <v>4</v>
      </c>
      <c r="U11" s="11">
        <v>5</v>
      </c>
      <c r="V11" s="11">
        <v>0</v>
      </c>
      <c r="W11" s="11">
        <v>0</v>
      </c>
      <c r="X11" s="11">
        <v>5</v>
      </c>
      <c r="Y11" s="11">
        <v>0</v>
      </c>
      <c r="Z11" s="11">
        <v>0</v>
      </c>
    </row>
    <row r="12" spans="1:26" ht="15.75" thickBot="1" x14ac:dyDescent="0.3">
      <c r="A12" s="8">
        <v>45627</v>
      </c>
      <c r="B12" s="9">
        <v>4</v>
      </c>
      <c r="C12" s="9">
        <v>6.5</v>
      </c>
      <c r="D12" s="10">
        <v>4</v>
      </c>
      <c r="E12" s="10">
        <v>0</v>
      </c>
      <c r="F12" s="10">
        <v>3</v>
      </c>
      <c r="G12" s="10">
        <v>2</v>
      </c>
      <c r="H12" s="10">
        <v>0</v>
      </c>
      <c r="I12" s="10">
        <v>0</v>
      </c>
      <c r="J12" s="12">
        <v>0</v>
      </c>
      <c r="K12" s="13">
        <v>4</v>
      </c>
      <c r="L12" s="13">
        <v>4</v>
      </c>
      <c r="M12" s="13">
        <v>4</v>
      </c>
      <c r="N12" s="13">
        <v>4</v>
      </c>
      <c r="O12" s="13">
        <v>16</v>
      </c>
      <c r="P12" s="13">
        <v>26</v>
      </c>
      <c r="Q12" s="11">
        <v>19</v>
      </c>
      <c r="R12" s="11">
        <v>0</v>
      </c>
      <c r="S12" s="11">
        <v>19</v>
      </c>
      <c r="T12" s="11">
        <v>0</v>
      </c>
      <c r="U12" s="11">
        <v>3</v>
      </c>
      <c r="V12" s="11">
        <v>0</v>
      </c>
      <c r="W12" s="11">
        <v>0</v>
      </c>
      <c r="X12" s="11">
        <v>3</v>
      </c>
      <c r="Y12" s="11">
        <v>0</v>
      </c>
      <c r="Z12" s="11">
        <v>0</v>
      </c>
    </row>
    <row r="13" spans="1:26" ht="15.75" thickBot="1" x14ac:dyDescent="0.3">
      <c r="A13" s="8">
        <v>45658</v>
      </c>
      <c r="B13" s="9">
        <v>4</v>
      </c>
      <c r="C13" s="9">
        <v>8</v>
      </c>
      <c r="D13" s="10">
        <v>3</v>
      </c>
      <c r="E13" s="10">
        <v>0</v>
      </c>
      <c r="F13" s="10">
        <v>2</v>
      </c>
      <c r="G13" s="10">
        <v>8</v>
      </c>
      <c r="H13" s="10">
        <v>0</v>
      </c>
      <c r="I13" s="10">
        <v>0</v>
      </c>
      <c r="J13" s="12">
        <v>0</v>
      </c>
      <c r="K13" s="13">
        <v>3</v>
      </c>
      <c r="L13" s="13">
        <v>3</v>
      </c>
      <c r="M13" s="13">
        <v>3</v>
      </c>
      <c r="N13" s="13">
        <v>3</v>
      </c>
      <c r="O13" s="13">
        <v>10</v>
      </c>
      <c r="P13" s="13">
        <v>36</v>
      </c>
      <c r="Q13" s="11">
        <v>29</v>
      </c>
      <c r="R13" s="11">
        <v>21</v>
      </c>
      <c r="S13" s="11">
        <v>4</v>
      </c>
      <c r="T13" s="11">
        <v>4</v>
      </c>
      <c r="U13" s="11">
        <v>1</v>
      </c>
      <c r="V13" s="11">
        <v>0</v>
      </c>
      <c r="W13" s="11">
        <v>0</v>
      </c>
      <c r="X13" s="11">
        <v>1</v>
      </c>
      <c r="Y13" s="11">
        <v>0</v>
      </c>
      <c r="Z13" s="11">
        <v>1</v>
      </c>
    </row>
    <row r="14" spans="1:26" ht="15.75" thickBot="1" x14ac:dyDescent="0.3">
      <c r="A14" s="8">
        <v>45689</v>
      </c>
      <c r="B14" s="9">
        <v>3</v>
      </c>
      <c r="C14" s="9">
        <v>6.3</v>
      </c>
      <c r="D14" s="10">
        <v>2</v>
      </c>
      <c r="E14" s="10">
        <v>0</v>
      </c>
      <c r="F14" s="10">
        <v>2</v>
      </c>
      <c r="G14" s="10">
        <v>6</v>
      </c>
      <c r="H14" s="10">
        <v>1</v>
      </c>
      <c r="I14" s="10">
        <v>0</v>
      </c>
      <c r="J14" s="12">
        <v>0</v>
      </c>
      <c r="K14" s="13">
        <v>3</v>
      </c>
      <c r="L14" s="13">
        <v>2</v>
      </c>
      <c r="M14" s="13">
        <v>2</v>
      </c>
      <c r="N14" s="13">
        <v>2</v>
      </c>
      <c r="O14" s="13">
        <v>28</v>
      </c>
      <c r="P14" s="13">
        <v>24</v>
      </c>
      <c r="Q14" s="11">
        <v>28</v>
      </c>
      <c r="R14" s="11">
        <v>20</v>
      </c>
      <c r="S14" s="11">
        <v>3</v>
      </c>
      <c r="T14" s="11">
        <v>5</v>
      </c>
      <c r="U14" s="11">
        <v>7</v>
      </c>
      <c r="V14" s="11">
        <v>0</v>
      </c>
      <c r="W14" s="11">
        <v>0</v>
      </c>
      <c r="X14" s="11">
        <v>7</v>
      </c>
      <c r="Y14" s="11">
        <v>0</v>
      </c>
      <c r="Z14" s="11">
        <v>1</v>
      </c>
    </row>
    <row r="15" spans="1:26" ht="15.75" thickBot="1" x14ac:dyDescent="0.3">
      <c r="A15" s="8">
        <v>45717</v>
      </c>
      <c r="B15" s="9">
        <v>2</v>
      </c>
      <c r="C15" s="9">
        <v>4.5</v>
      </c>
      <c r="D15" s="10">
        <v>2</v>
      </c>
      <c r="E15" s="10">
        <v>0</v>
      </c>
      <c r="F15" s="10">
        <v>0</v>
      </c>
      <c r="G15" s="10">
        <v>3</v>
      </c>
      <c r="H15" s="10">
        <v>0</v>
      </c>
      <c r="I15" s="10">
        <v>0</v>
      </c>
      <c r="J15" s="12">
        <v>1</v>
      </c>
      <c r="K15" s="13">
        <v>2</v>
      </c>
      <c r="L15" s="13">
        <v>2</v>
      </c>
      <c r="M15" s="13">
        <v>3</v>
      </c>
      <c r="N15" s="13">
        <v>3</v>
      </c>
      <c r="O15" s="13">
        <v>35</v>
      </c>
      <c r="P15" s="13">
        <v>22</v>
      </c>
      <c r="Q15" s="11">
        <v>25</v>
      </c>
      <c r="R15" s="11">
        <v>13</v>
      </c>
      <c r="S15" s="11">
        <v>0</v>
      </c>
      <c r="T15" s="11">
        <v>12</v>
      </c>
      <c r="U15" s="11">
        <v>3</v>
      </c>
      <c r="V15" s="11">
        <v>0</v>
      </c>
      <c r="W15" s="11">
        <v>0</v>
      </c>
      <c r="X15" s="11">
        <v>3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9">
        <v>7</v>
      </c>
      <c r="C16" s="9">
        <v>15.1</v>
      </c>
      <c r="D16" s="10">
        <v>2</v>
      </c>
      <c r="E16" s="10">
        <v>0</v>
      </c>
      <c r="F16" s="10">
        <v>8</v>
      </c>
      <c r="G16" s="10">
        <v>3</v>
      </c>
      <c r="H16" s="10">
        <v>8</v>
      </c>
      <c r="I16" s="10">
        <v>5</v>
      </c>
      <c r="J16" s="12">
        <v>0</v>
      </c>
      <c r="K16" s="13">
        <v>2</v>
      </c>
      <c r="L16" s="13">
        <v>3</v>
      </c>
      <c r="M16" s="13">
        <v>2</v>
      </c>
      <c r="N16" s="13">
        <v>2</v>
      </c>
      <c r="O16" s="13">
        <v>60</v>
      </c>
      <c r="P16" s="13">
        <v>15</v>
      </c>
      <c r="Q16" s="11">
        <v>18</v>
      </c>
      <c r="R16" s="11">
        <v>10</v>
      </c>
      <c r="S16" s="11">
        <v>1</v>
      </c>
      <c r="T16" s="11">
        <v>7</v>
      </c>
      <c r="U16" s="11">
        <v>4</v>
      </c>
      <c r="V16" s="11">
        <v>0</v>
      </c>
      <c r="W16" s="11">
        <v>0</v>
      </c>
      <c r="X16" s="11">
        <v>4</v>
      </c>
      <c r="Y16" s="11">
        <v>1</v>
      </c>
      <c r="Z16" s="11">
        <v>1</v>
      </c>
    </row>
    <row r="17" spans="1:26" ht="15.75" thickBot="1" x14ac:dyDescent="0.3">
      <c r="A17" s="8">
        <v>45778</v>
      </c>
      <c r="B17" s="9">
        <v>6</v>
      </c>
      <c r="C17" s="9">
        <v>4</v>
      </c>
      <c r="D17" s="10">
        <v>3</v>
      </c>
      <c r="E17" s="10">
        <v>0</v>
      </c>
      <c r="F17" s="10">
        <v>0</v>
      </c>
      <c r="G17" s="10">
        <v>2</v>
      </c>
      <c r="H17" s="10">
        <v>0</v>
      </c>
      <c r="I17" s="10">
        <v>0</v>
      </c>
      <c r="J17" s="12">
        <v>0</v>
      </c>
      <c r="K17" s="13">
        <v>3</v>
      </c>
      <c r="L17" s="13">
        <v>4</v>
      </c>
      <c r="M17" s="13">
        <v>3</v>
      </c>
      <c r="N17" s="13">
        <v>8</v>
      </c>
      <c r="O17" s="13">
        <v>23</v>
      </c>
      <c r="P17" s="13">
        <v>18</v>
      </c>
      <c r="Q17" s="11">
        <v>1</v>
      </c>
      <c r="R17" s="11">
        <v>0</v>
      </c>
      <c r="S17" s="11">
        <v>0</v>
      </c>
      <c r="T17" s="11">
        <v>1</v>
      </c>
      <c r="U17" s="11">
        <v>8</v>
      </c>
      <c r="V17" s="11">
        <v>0</v>
      </c>
      <c r="W17" s="11">
        <v>0</v>
      </c>
      <c r="X17" s="11">
        <v>8</v>
      </c>
      <c r="Y17" s="11">
        <v>0</v>
      </c>
      <c r="Z17" s="11">
        <v>3</v>
      </c>
    </row>
    <row r="18" spans="1:26" ht="15.75" thickBot="1" x14ac:dyDescent="0.3">
      <c r="A18" s="8">
        <v>45809</v>
      </c>
      <c r="B18" s="9">
        <v>6</v>
      </c>
      <c r="C18" s="9">
        <v>3</v>
      </c>
      <c r="D18" s="10">
        <v>1</v>
      </c>
      <c r="E18" s="10">
        <v>0</v>
      </c>
      <c r="F18" s="10">
        <v>2</v>
      </c>
      <c r="G18" s="10">
        <v>2</v>
      </c>
      <c r="H18" s="10">
        <v>0</v>
      </c>
      <c r="I18" s="10">
        <v>0</v>
      </c>
      <c r="J18" s="12">
        <v>2</v>
      </c>
      <c r="K18" s="13">
        <v>1</v>
      </c>
      <c r="L18" s="13">
        <v>2</v>
      </c>
      <c r="M18" s="13">
        <v>1</v>
      </c>
      <c r="N18" s="13">
        <v>2</v>
      </c>
      <c r="O18" s="13">
        <v>21</v>
      </c>
      <c r="P18" s="13">
        <v>25</v>
      </c>
      <c r="Q18" s="11">
        <v>3</v>
      </c>
      <c r="R18" s="11">
        <v>1</v>
      </c>
      <c r="S18" s="11">
        <v>2</v>
      </c>
      <c r="T18" s="11">
        <v>0</v>
      </c>
      <c r="U18" s="11">
        <v>8</v>
      </c>
      <c r="V18" s="11">
        <v>0</v>
      </c>
      <c r="W18" s="11">
        <v>0</v>
      </c>
      <c r="X18" s="11">
        <v>8</v>
      </c>
      <c r="Y18" s="11">
        <v>2</v>
      </c>
      <c r="Z18" s="11">
        <v>0</v>
      </c>
    </row>
    <row r="19" spans="1:26" ht="15.75" thickBot="1" x14ac:dyDescent="0.3">
      <c r="A19" s="8">
        <v>45839</v>
      </c>
      <c r="B19" s="9">
        <v>7</v>
      </c>
      <c r="C19" s="9">
        <v>7.8</v>
      </c>
      <c r="D19" s="12">
        <v>3</v>
      </c>
      <c r="E19" s="14">
        <v>3</v>
      </c>
      <c r="F19" s="15">
        <v>2</v>
      </c>
      <c r="G19" s="10">
        <v>1</v>
      </c>
      <c r="H19" s="15">
        <v>1</v>
      </c>
      <c r="I19" s="10">
        <v>0</v>
      </c>
      <c r="J19" s="12">
        <v>0</v>
      </c>
      <c r="K19" s="15">
        <v>0</v>
      </c>
      <c r="L19" s="13">
        <v>1</v>
      </c>
      <c r="M19" s="13">
        <v>0</v>
      </c>
      <c r="N19" s="15">
        <v>0</v>
      </c>
      <c r="O19" s="16">
        <v>13</v>
      </c>
      <c r="P19" s="16">
        <v>14</v>
      </c>
      <c r="Q19" s="11">
        <v>11</v>
      </c>
      <c r="R19" s="11">
        <v>6</v>
      </c>
      <c r="S19" s="11">
        <v>4</v>
      </c>
      <c r="T19" s="11">
        <v>1</v>
      </c>
      <c r="U19" s="11">
        <v>7</v>
      </c>
      <c r="V19" s="11">
        <v>0</v>
      </c>
      <c r="W19" s="11">
        <v>0</v>
      </c>
      <c r="X19" s="11">
        <v>7</v>
      </c>
      <c r="Y19" s="11">
        <v>2</v>
      </c>
      <c r="Z19" s="11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v>36</v>
      </c>
      <c r="C23" s="21">
        <v>56.85</v>
      </c>
      <c r="D23" s="21">
        <v>21.5</v>
      </c>
      <c r="E23" s="21">
        <v>3</v>
      </c>
      <c r="F23" s="21">
        <v>17.5</v>
      </c>
      <c r="G23" s="21">
        <v>29</v>
      </c>
      <c r="H23" s="21">
        <v>13</v>
      </c>
      <c r="I23" s="21">
        <v>5</v>
      </c>
      <c r="J23" s="21">
        <v>3</v>
      </c>
      <c r="K23" s="21">
        <v>25</v>
      </c>
      <c r="L23" s="21">
        <v>28</v>
      </c>
      <c r="M23" s="21">
        <v>24</v>
      </c>
      <c r="N23" s="21">
        <v>30</v>
      </c>
      <c r="O23" s="21"/>
      <c r="P23" s="21">
        <v>194</v>
      </c>
      <c r="Q23" s="21">
        <v>149</v>
      </c>
      <c r="R23" s="21">
        <v>95</v>
      </c>
      <c r="S23" s="21">
        <v>31</v>
      </c>
      <c r="T23" s="21">
        <v>43</v>
      </c>
      <c r="U23" s="21">
        <v>41</v>
      </c>
      <c r="V23" s="21">
        <v>0</v>
      </c>
      <c r="W23" s="21">
        <v>0</v>
      </c>
      <c r="X23" s="21">
        <v>41</v>
      </c>
      <c r="Y23" s="21">
        <v>3</v>
      </c>
      <c r="Z23" s="21">
        <v>7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21.5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3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17.5</v>
      </c>
    </row>
    <row r="30" spans="1:26" ht="15.75" thickBot="1" x14ac:dyDescent="0.3">
      <c r="M30" s="164" t="s">
        <v>145</v>
      </c>
      <c r="N30" s="165"/>
      <c r="O30" s="165"/>
      <c r="P30" s="166"/>
      <c r="Q30" s="17">
        <v>42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8</v>
      </c>
    </row>
  </sheetData>
  <mergeCells count="32">
    <mergeCell ref="A24:P24"/>
    <mergeCell ref="Q27:Q28"/>
    <mergeCell ref="A28:D28"/>
    <mergeCell ref="M29:P29"/>
    <mergeCell ref="E25:I25"/>
    <mergeCell ref="J25:K25"/>
    <mergeCell ref="A29:D29"/>
    <mergeCell ref="A27:D27"/>
    <mergeCell ref="A26:D26"/>
    <mergeCell ref="A25:D25"/>
    <mergeCell ref="M31:P31"/>
    <mergeCell ref="E26:I26"/>
    <mergeCell ref="J26:K26"/>
    <mergeCell ref="M26:P26"/>
    <mergeCell ref="E27:I29"/>
    <mergeCell ref="J27:K29"/>
    <mergeCell ref="M27:P28"/>
    <mergeCell ref="M30:P30"/>
    <mergeCell ref="A1:Z4"/>
    <mergeCell ref="A5:Z5"/>
    <mergeCell ref="A6:A7"/>
    <mergeCell ref="B6:B7"/>
    <mergeCell ref="D6:F6"/>
    <mergeCell ref="G6:H6"/>
    <mergeCell ref="I6:J6"/>
    <mergeCell ref="Z6:Z7"/>
    <mergeCell ref="K6:N6"/>
    <mergeCell ref="P6:P7"/>
    <mergeCell ref="Q6:T6"/>
    <mergeCell ref="U6:X6"/>
    <mergeCell ref="Y6:Y7"/>
    <mergeCell ref="O6:O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113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90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3</v>
      </c>
      <c r="C8" s="9">
        <v>3</v>
      </c>
      <c r="D8" s="10">
        <v>0</v>
      </c>
      <c r="E8" s="10">
        <v>2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2</v>
      </c>
      <c r="L8" s="10">
        <v>2</v>
      </c>
      <c r="M8" s="10">
        <v>0</v>
      </c>
      <c r="N8" s="10">
        <v>0</v>
      </c>
      <c r="O8" s="10">
        <v>3</v>
      </c>
      <c r="P8" s="10">
        <v>7</v>
      </c>
      <c r="Q8" s="10">
        <v>3</v>
      </c>
      <c r="R8" s="10">
        <v>1</v>
      </c>
      <c r="S8" s="11">
        <v>0</v>
      </c>
      <c r="T8" s="11">
        <v>2</v>
      </c>
      <c r="U8" s="11">
        <v>2</v>
      </c>
      <c r="V8" s="11">
        <v>0</v>
      </c>
      <c r="W8" s="11">
        <v>0</v>
      </c>
      <c r="X8" s="11">
        <v>2</v>
      </c>
      <c r="Y8" s="11" t="s">
        <v>114</v>
      </c>
      <c r="Z8" s="11">
        <v>0</v>
      </c>
    </row>
    <row r="9" spans="1:26" ht="15.75" thickBot="1" x14ac:dyDescent="0.3">
      <c r="A9" s="8">
        <v>45536</v>
      </c>
      <c r="B9" s="9">
        <v>4</v>
      </c>
      <c r="C9" s="9">
        <v>3.5</v>
      </c>
      <c r="D9" s="10">
        <v>1</v>
      </c>
      <c r="E9" s="10">
        <v>2</v>
      </c>
      <c r="F9" s="10">
        <v>0</v>
      </c>
      <c r="G9" s="11">
        <v>1</v>
      </c>
      <c r="H9" s="10">
        <v>0</v>
      </c>
      <c r="I9" s="10">
        <v>0</v>
      </c>
      <c r="J9" s="12">
        <v>0</v>
      </c>
      <c r="K9" s="13">
        <v>2</v>
      </c>
      <c r="L9" s="13">
        <v>0</v>
      </c>
      <c r="M9" s="13">
        <v>0</v>
      </c>
      <c r="N9" s="13">
        <v>0</v>
      </c>
      <c r="O9" s="13">
        <v>4</v>
      </c>
      <c r="P9" s="13">
        <v>9</v>
      </c>
      <c r="Q9" s="11">
        <v>2</v>
      </c>
      <c r="R9" s="11">
        <v>1</v>
      </c>
      <c r="S9" s="11">
        <v>0</v>
      </c>
      <c r="T9" s="11">
        <v>1</v>
      </c>
      <c r="U9" s="11">
        <v>3</v>
      </c>
      <c r="V9" s="11">
        <v>0</v>
      </c>
      <c r="W9" s="11">
        <v>0</v>
      </c>
      <c r="X9" s="11">
        <v>3</v>
      </c>
      <c r="Y9" s="11" t="s">
        <v>115</v>
      </c>
      <c r="Z9" s="11">
        <v>3.5</v>
      </c>
    </row>
    <row r="10" spans="1:26" ht="15.75" thickBot="1" x14ac:dyDescent="0.3">
      <c r="A10" s="8">
        <v>45566</v>
      </c>
      <c r="B10" s="9">
        <v>5</v>
      </c>
      <c r="C10" s="9">
        <v>2</v>
      </c>
      <c r="D10" s="10">
        <v>0</v>
      </c>
      <c r="E10" s="10">
        <v>2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3</v>
      </c>
      <c r="P10" s="13">
        <v>11</v>
      </c>
      <c r="Q10" s="11">
        <v>4</v>
      </c>
      <c r="R10" s="11">
        <v>2</v>
      </c>
      <c r="S10" s="11">
        <v>0</v>
      </c>
      <c r="T10" s="11">
        <v>2</v>
      </c>
      <c r="U10" s="11">
        <v>4</v>
      </c>
      <c r="V10" s="11">
        <v>0</v>
      </c>
      <c r="W10" s="11">
        <v>0</v>
      </c>
      <c r="X10" s="11">
        <v>0</v>
      </c>
      <c r="Y10" s="11" t="s">
        <v>114</v>
      </c>
      <c r="Z10" s="11">
        <v>3.5</v>
      </c>
    </row>
    <row r="11" spans="1:26" ht="15.75" thickBot="1" x14ac:dyDescent="0.3">
      <c r="A11" s="8">
        <v>45597</v>
      </c>
      <c r="B11" s="9">
        <v>2</v>
      </c>
      <c r="C11" s="9">
        <v>1.5</v>
      </c>
      <c r="D11" s="10">
        <v>0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2</v>
      </c>
      <c r="P11" s="13">
        <v>19</v>
      </c>
      <c r="Q11" s="11">
        <v>0</v>
      </c>
      <c r="R11" s="11">
        <v>0</v>
      </c>
      <c r="S11" s="11">
        <v>0</v>
      </c>
      <c r="T11" s="11">
        <v>0</v>
      </c>
      <c r="U11" s="11">
        <v>2</v>
      </c>
      <c r="V11" s="11">
        <v>0</v>
      </c>
      <c r="W11" s="11">
        <v>0</v>
      </c>
      <c r="X11" s="11">
        <v>2</v>
      </c>
      <c r="Y11" s="11" t="s">
        <v>114</v>
      </c>
      <c r="Z11" s="11">
        <v>3</v>
      </c>
    </row>
    <row r="12" spans="1:26" ht="15.75" thickBot="1" x14ac:dyDescent="0.3">
      <c r="A12" s="8">
        <v>45627</v>
      </c>
      <c r="B12" s="9">
        <v>4</v>
      </c>
      <c r="C12" s="9">
        <v>2</v>
      </c>
      <c r="D12" s="10">
        <v>2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4</v>
      </c>
      <c r="P12" s="13">
        <v>25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2</v>
      </c>
      <c r="Z12" s="11">
        <v>4</v>
      </c>
    </row>
    <row r="13" spans="1:26" ht="15.75" thickBot="1" x14ac:dyDescent="0.3">
      <c r="A13" s="8">
        <v>45658</v>
      </c>
      <c r="B13" s="9"/>
      <c r="C13" s="9"/>
      <c r="D13" s="10"/>
      <c r="E13" s="10"/>
      <c r="F13" s="10"/>
      <c r="G13" s="10"/>
      <c r="H13" s="10"/>
      <c r="I13" s="10"/>
      <c r="J13" s="12"/>
      <c r="K13" s="13"/>
      <c r="L13" s="13"/>
      <c r="M13" s="13"/>
      <c r="N13" s="13"/>
      <c r="O13" s="13"/>
      <c r="P13" s="13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thickBot="1" x14ac:dyDescent="0.3">
      <c r="A14" s="8">
        <v>45689</v>
      </c>
      <c r="B14" s="9"/>
      <c r="C14" s="9"/>
      <c r="D14" s="10"/>
      <c r="E14" s="10"/>
      <c r="F14" s="10"/>
      <c r="G14" s="10"/>
      <c r="H14" s="10"/>
      <c r="I14" s="10"/>
      <c r="J14" s="12"/>
      <c r="K14" s="13"/>
      <c r="L14" s="13"/>
      <c r="M14" s="13"/>
      <c r="N14" s="13"/>
      <c r="O14" s="13"/>
      <c r="P14" s="13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thickBot="1" x14ac:dyDescent="0.3">
      <c r="A15" s="8">
        <v>45717</v>
      </c>
      <c r="B15" s="9"/>
      <c r="C15" s="9"/>
      <c r="D15" s="10"/>
      <c r="E15" s="10"/>
      <c r="F15" s="10"/>
      <c r="G15" s="10"/>
      <c r="H15" s="10"/>
      <c r="I15" s="10"/>
      <c r="J15" s="12"/>
      <c r="K15" s="13"/>
      <c r="L15" s="13"/>
      <c r="M15" s="13"/>
      <c r="N15" s="13"/>
      <c r="O15" s="13"/>
      <c r="P15" s="13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thickBot="1" x14ac:dyDescent="0.3">
      <c r="A16" s="8">
        <v>45748</v>
      </c>
      <c r="B16" s="9"/>
      <c r="C16" s="9"/>
      <c r="D16" s="10"/>
      <c r="E16" s="10"/>
      <c r="F16" s="10"/>
      <c r="G16" s="10"/>
      <c r="H16" s="10"/>
      <c r="I16" s="10"/>
      <c r="J16" s="12"/>
      <c r="K16" s="13"/>
      <c r="L16" s="13"/>
      <c r="M16" s="13"/>
      <c r="N16" s="13"/>
      <c r="O16" s="13"/>
      <c r="P16" s="13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thickBot="1" x14ac:dyDescent="0.3">
      <c r="A17" s="8">
        <v>45778</v>
      </c>
      <c r="B17" s="9"/>
      <c r="C17" s="9"/>
      <c r="D17" s="10"/>
      <c r="E17" s="10"/>
      <c r="F17" s="10"/>
      <c r="G17" s="10"/>
      <c r="H17" s="10"/>
      <c r="I17" s="10"/>
      <c r="J17" s="12"/>
      <c r="K17" s="13"/>
      <c r="L17" s="13"/>
      <c r="M17" s="13"/>
      <c r="N17" s="13"/>
      <c r="O17" s="13"/>
      <c r="P17" s="13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thickBot="1" x14ac:dyDescent="0.3">
      <c r="A18" s="8">
        <v>45809</v>
      </c>
      <c r="B18" s="9"/>
      <c r="C18" s="9"/>
      <c r="D18" s="10"/>
      <c r="E18" s="10"/>
      <c r="F18" s="10"/>
      <c r="G18" s="10"/>
      <c r="H18" s="10"/>
      <c r="I18" s="10"/>
      <c r="J18" s="12"/>
      <c r="K18" s="13"/>
      <c r="L18" s="13"/>
      <c r="M18" s="13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thickBot="1" x14ac:dyDescent="0.3">
      <c r="A19" s="8">
        <v>45839</v>
      </c>
      <c r="B19" s="9"/>
      <c r="C19" s="9"/>
      <c r="D19" s="12"/>
      <c r="E19" s="14"/>
      <c r="F19" s="15"/>
      <c r="G19" s="10"/>
      <c r="H19" s="15"/>
      <c r="I19" s="10"/>
      <c r="J19" s="12"/>
      <c r="K19" s="15"/>
      <c r="L19" s="13"/>
      <c r="M19" s="13"/>
      <c r="N19" s="15"/>
      <c r="O19" s="16"/>
      <c r="P19" s="16"/>
      <c r="Q19" s="11"/>
      <c r="R19" s="11"/>
      <c r="S19" s="11"/>
      <c r="T19" s="11"/>
      <c r="U19" s="11"/>
      <c r="V19" s="11"/>
      <c r="W19" s="11"/>
      <c r="X19" s="11"/>
      <c r="Y19" s="17"/>
      <c r="Z19" s="11"/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v>18</v>
      </c>
      <c r="C23" s="21">
        <v>12</v>
      </c>
      <c r="D23" s="21">
        <v>3</v>
      </c>
      <c r="E23" s="21">
        <v>6</v>
      </c>
      <c r="F23" s="21">
        <v>4</v>
      </c>
      <c r="G23" s="21">
        <v>2</v>
      </c>
      <c r="H23" s="21">
        <v>0</v>
      </c>
      <c r="I23" s="21">
        <v>0</v>
      </c>
      <c r="J23" s="21">
        <v>0</v>
      </c>
      <c r="K23" s="21">
        <v>4</v>
      </c>
      <c r="L23" s="21">
        <v>2</v>
      </c>
      <c r="M23" s="21">
        <v>0</v>
      </c>
      <c r="N23" s="21">
        <v>0</v>
      </c>
      <c r="O23" s="21"/>
      <c r="P23" s="21">
        <v>71</v>
      </c>
      <c r="Q23" s="21">
        <v>9</v>
      </c>
      <c r="R23" s="21">
        <v>4</v>
      </c>
      <c r="S23" s="21">
        <v>0</v>
      </c>
      <c r="T23" s="21">
        <v>5</v>
      </c>
      <c r="U23" s="21">
        <v>11</v>
      </c>
      <c r="V23" s="21">
        <v>0</v>
      </c>
      <c r="W23" s="21">
        <v>0</v>
      </c>
      <c r="X23" s="21">
        <v>7</v>
      </c>
      <c r="Y23" s="21">
        <v>2</v>
      </c>
      <c r="Z23" s="21">
        <v>14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3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6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4</v>
      </c>
    </row>
    <row r="30" spans="1:26" ht="15.75" thickBot="1" x14ac:dyDescent="0.3">
      <c r="M30" s="164" t="s">
        <v>145</v>
      </c>
      <c r="N30" s="165"/>
      <c r="O30" s="165"/>
      <c r="P30" s="166"/>
      <c r="Q30" s="17">
        <v>2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0</v>
      </c>
    </row>
  </sheetData>
  <mergeCells count="31">
    <mergeCell ref="Q27:Q28"/>
    <mergeCell ref="M29:P29"/>
    <mergeCell ref="M30:P30"/>
    <mergeCell ref="E25:I25"/>
    <mergeCell ref="J25:K25"/>
    <mergeCell ref="A29:D29"/>
    <mergeCell ref="A28:D28"/>
    <mergeCell ref="A24:P24"/>
    <mergeCell ref="M31:P31"/>
    <mergeCell ref="E26:I26"/>
    <mergeCell ref="J26:K26"/>
    <mergeCell ref="M26:P26"/>
    <mergeCell ref="E27:I29"/>
    <mergeCell ref="J27:K29"/>
    <mergeCell ref="M27:P28"/>
    <mergeCell ref="Z6:Z7"/>
    <mergeCell ref="A27:D27"/>
    <mergeCell ref="A26:D26"/>
    <mergeCell ref="A25:D25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cols>
    <col min="11" max="11" width="11" bestFit="1" customWidth="1"/>
  </cols>
  <sheetData>
    <row r="1" spans="1:26" x14ac:dyDescent="0.25">
      <c r="A1" s="131" t="s">
        <v>112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90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5</v>
      </c>
      <c r="C8" s="9">
        <v>1.5</v>
      </c>
      <c r="D8" s="10">
        <v>1</v>
      </c>
      <c r="E8" s="10">
        <v>0.5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6</v>
      </c>
      <c r="Q8" s="10">
        <v>7</v>
      </c>
      <c r="R8" s="10">
        <v>5</v>
      </c>
      <c r="S8" s="11">
        <v>0</v>
      </c>
      <c r="T8" s="11">
        <v>2</v>
      </c>
      <c r="U8" s="11">
        <v>2</v>
      </c>
      <c r="V8" s="83">
        <v>0</v>
      </c>
      <c r="W8" s="11">
        <v>0</v>
      </c>
      <c r="X8" s="11">
        <v>0</v>
      </c>
      <c r="Y8" s="11">
        <v>2</v>
      </c>
      <c r="Z8" s="11">
        <v>3</v>
      </c>
    </row>
    <row r="9" spans="1:26" ht="15.75" thickBot="1" x14ac:dyDescent="0.3">
      <c r="A9" s="8">
        <v>45536</v>
      </c>
      <c r="B9" s="9">
        <v>7</v>
      </c>
      <c r="C9" s="9">
        <v>3</v>
      </c>
      <c r="D9" s="10">
        <v>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3">
        <v>3</v>
      </c>
      <c r="L9" s="13">
        <v>0</v>
      </c>
      <c r="M9" s="13">
        <v>0</v>
      </c>
      <c r="N9" s="13">
        <v>0</v>
      </c>
      <c r="O9" s="13">
        <v>3</v>
      </c>
      <c r="P9" s="13">
        <v>10</v>
      </c>
      <c r="Q9" s="11">
        <v>11</v>
      </c>
      <c r="R9" s="11">
        <v>4</v>
      </c>
      <c r="S9" s="11">
        <v>1</v>
      </c>
      <c r="T9" s="11">
        <v>6</v>
      </c>
      <c r="U9" s="11">
        <v>1</v>
      </c>
      <c r="V9" s="83">
        <v>0</v>
      </c>
      <c r="W9" s="83">
        <v>0</v>
      </c>
      <c r="X9" s="83">
        <v>0</v>
      </c>
      <c r="Y9" s="11">
        <v>2</v>
      </c>
      <c r="Z9" s="11">
        <v>2</v>
      </c>
    </row>
    <row r="10" spans="1:26" ht="15.75" thickBot="1" x14ac:dyDescent="0.3">
      <c r="A10" s="8">
        <v>45566</v>
      </c>
      <c r="B10" s="9">
        <v>6</v>
      </c>
      <c r="C10" s="9">
        <v>2</v>
      </c>
      <c r="D10" s="10">
        <v>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2">
        <v>0</v>
      </c>
      <c r="O10" s="13">
        <v>2</v>
      </c>
      <c r="P10" s="13">
        <v>8</v>
      </c>
      <c r="Q10" s="11">
        <v>8</v>
      </c>
      <c r="R10" s="11">
        <v>3</v>
      </c>
      <c r="S10" s="11">
        <v>1</v>
      </c>
      <c r="T10" s="11">
        <v>4</v>
      </c>
      <c r="U10" s="11">
        <v>1</v>
      </c>
      <c r="V10" s="83">
        <v>0</v>
      </c>
      <c r="W10" s="83">
        <v>0</v>
      </c>
      <c r="X10" s="83">
        <v>0</v>
      </c>
      <c r="Y10" s="11">
        <v>2</v>
      </c>
      <c r="Z10" s="11">
        <v>7</v>
      </c>
    </row>
    <row r="11" spans="1:26" ht="15.75" thickBot="1" x14ac:dyDescent="0.3">
      <c r="A11" s="8">
        <v>45597</v>
      </c>
      <c r="B11" s="9">
        <v>3</v>
      </c>
      <c r="C11" s="9">
        <v>2.87</v>
      </c>
      <c r="D11" s="10">
        <v>2.87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2">
        <v>0</v>
      </c>
      <c r="O11" s="13">
        <v>3</v>
      </c>
      <c r="P11" s="13">
        <v>14</v>
      </c>
      <c r="Q11" s="11">
        <v>12</v>
      </c>
      <c r="R11" s="11">
        <v>7</v>
      </c>
      <c r="S11" s="11">
        <v>1</v>
      </c>
      <c r="T11" s="11">
        <v>4</v>
      </c>
      <c r="U11" s="11">
        <v>3</v>
      </c>
      <c r="V11" s="83">
        <v>0</v>
      </c>
      <c r="W11" s="83">
        <v>0</v>
      </c>
      <c r="X11" s="83">
        <v>0</v>
      </c>
      <c r="Y11" s="11">
        <v>30</v>
      </c>
      <c r="Z11" s="11">
        <v>2</v>
      </c>
    </row>
    <row r="12" spans="1:26" ht="15.75" thickBot="1" x14ac:dyDescent="0.3">
      <c r="A12" s="8">
        <v>45627</v>
      </c>
      <c r="B12" s="9">
        <v>3</v>
      </c>
      <c r="C12" s="9">
        <v>2.5</v>
      </c>
      <c r="D12" s="10">
        <v>2.5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2">
        <v>0</v>
      </c>
      <c r="O12" s="13">
        <v>7</v>
      </c>
      <c r="P12" s="13">
        <v>14</v>
      </c>
      <c r="Q12" s="11">
        <v>2</v>
      </c>
      <c r="R12" s="11">
        <v>0</v>
      </c>
      <c r="S12" s="11">
        <v>0</v>
      </c>
      <c r="T12" s="11">
        <v>2</v>
      </c>
      <c r="U12" s="11">
        <v>0</v>
      </c>
      <c r="V12" s="83">
        <v>0</v>
      </c>
      <c r="W12" s="83">
        <v>0</v>
      </c>
      <c r="X12" s="83">
        <v>0</v>
      </c>
      <c r="Y12" s="11">
        <v>0</v>
      </c>
      <c r="Z12" s="11">
        <v>4.5</v>
      </c>
    </row>
    <row r="13" spans="1:26" ht="15.75" thickBot="1" x14ac:dyDescent="0.3">
      <c r="A13" s="8">
        <v>45658</v>
      </c>
      <c r="B13" s="9">
        <v>4</v>
      </c>
      <c r="C13" s="9">
        <v>8</v>
      </c>
      <c r="D13" s="10">
        <v>7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2">
        <v>0</v>
      </c>
      <c r="O13" s="13">
        <v>2</v>
      </c>
      <c r="P13" s="13">
        <v>18</v>
      </c>
      <c r="Q13" s="11">
        <v>26</v>
      </c>
      <c r="R13" s="11">
        <v>25</v>
      </c>
      <c r="S13" s="11">
        <v>0</v>
      </c>
      <c r="T13" s="11">
        <v>1</v>
      </c>
      <c r="U13" s="11">
        <v>0</v>
      </c>
      <c r="V13" s="83">
        <v>0</v>
      </c>
      <c r="W13" s="83">
        <v>0</v>
      </c>
      <c r="X13" s="83">
        <v>0</v>
      </c>
      <c r="Y13" s="11">
        <v>2</v>
      </c>
      <c r="Z13" s="11">
        <v>18</v>
      </c>
    </row>
    <row r="14" spans="1:26" ht="15.75" thickBot="1" x14ac:dyDescent="0.3">
      <c r="A14" s="8">
        <v>45689</v>
      </c>
      <c r="B14" s="9">
        <v>3</v>
      </c>
      <c r="C14" s="9">
        <v>1</v>
      </c>
      <c r="D14" s="10">
        <v>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2">
        <v>0</v>
      </c>
      <c r="O14" s="13">
        <v>16</v>
      </c>
      <c r="P14" s="13">
        <v>25</v>
      </c>
      <c r="Q14" s="11">
        <v>13</v>
      </c>
      <c r="R14" s="11">
        <v>9</v>
      </c>
      <c r="S14" s="11">
        <v>1</v>
      </c>
      <c r="T14" s="11">
        <v>3</v>
      </c>
      <c r="U14" s="11">
        <v>2</v>
      </c>
      <c r="V14" s="83">
        <v>0</v>
      </c>
      <c r="W14" s="83">
        <v>0</v>
      </c>
      <c r="X14" s="83">
        <v>0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9">
        <v>2.5</v>
      </c>
      <c r="C15" s="9">
        <v>5.5</v>
      </c>
      <c r="D15" s="10">
        <v>4.5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1</v>
      </c>
      <c r="K15" s="10">
        <v>0</v>
      </c>
      <c r="L15" s="10">
        <v>0</v>
      </c>
      <c r="M15" s="10">
        <v>0</v>
      </c>
      <c r="N15" s="12">
        <v>0</v>
      </c>
      <c r="O15" s="13">
        <v>22</v>
      </c>
      <c r="P15" s="13">
        <v>12</v>
      </c>
      <c r="Q15" s="11">
        <v>15</v>
      </c>
      <c r="R15" s="11">
        <v>7</v>
      </c>
      <c r="S15" s="11">
        <v>1</v>
      </c>
      <c r="T15" s="11">
        <v>7</v>
      </c>
      <c r="U15" s="11">
        <v>0</v>
      </c>
      <c r="V15" s="83">
        <v>0</v>
      </c>
      <c r="W15" s="83">
        <v>0</v>
      </c>
      <c r="X15" s="83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9">
        <v>6</v>
      </c>
      <c r="C16" s="9">
        <v>4.8</v>
      </c>
      <c r="D16" s="10">
        <v>2.5</v>
      </c>
      <c r="E16" s="10">
        <v>0</v>
      </c>
      <c r="F16" s="10">
        <v>2</v>
      </c>
      <c r="G16" s="10">
        <v>0</v>
      </c>
      <c r="H16" s="10">
        <v>3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2">
        <v>0</v>
      </c>
      <c r="O16" s="13">
        <v>33</v>
      </c>
      <c r="P16" s="13">
        <v>7</v>
      </c>
      <c r="Q16" s="11">
        <v>8</v>
      </c>
      <c r="R16" s="11">
        <v>4</v>
      </c>
      <c r="S16" s="11">
        <v>0</v>
      </c>
      <c r="T16" s="11">
        <v>4</v>
      </c>
      <c r="U16" s="11">
        <v>5</v>
      </c>
      <c r="V16" s="83">
        <v>0</v>
      </c>
      <c r="W16" s="83">
        <v>0</v>
      </c>
      <c r="X16" s="83">
        <v>0</v>
      </c>
      <c r="Y16" s="11">
        <v>1.5</v>
      </c>
      <c r="Z16" s="11">
        <v>1.5</v>
      </c>
    </row>
    <row r="17" spans="1:26" ht="15.75" thickBot="1" x14ac:dyDescent="0.3">
      <c r="A17" s="8">
        <v>45778</v>
      </c>
      <c r="B17" s="9">
        <v>3</v>
      </c>
      <c r="C17" s="9">
        <v>6</v>
      </c>
      <c r="D17" s="10">
        <v>2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2">
        <v>0</v>
      </c>
      <c r="O17" s="13">
        <v>9</v>
      </c>
      <c r="P17" s="13">
        <v>15</v>
      </c>
      <c r="Q17" s="11">
        <v>1</v>
      </c>
      <c r="R17" s="11">
        <v>1</v>
      </c>
      <c r="S17" s="11">
        <v>0</v>
      </c>
      <c r="T17" s="11">
        <v>0</v>
      </c>
      <c r="U17" s="11">
        <v>6</v>
      </c>
      <c r="V17" s="83">
        <v>0</v>
      </c>
      <c r="W17" s="83">
        <v>0</v>
      </c>
      <c r="X17" s="83">
        <v>0</v>
      </c>
      <c r="Y17" s="11">
        <v>0.5</v>
      </c>
      <c r="Z17" s="11">
        <v>2</v>
      </c>
    </row>
    <row r="18" spans="1:26" ht="15.75" thickBot="1" x14ac:dyDescent="0.3">
      <c r="A18" s="8">
        <v>45809</v>
      </c>
      <c r="B18" s="9">
        <v>3</v>
      </c>
      <c r="C18" s="9">
        <v>2.5</v>
      </c>
      <c r="D18" s="10">
        <v>1.5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2">
        <v>0</v>
      </c>
      <c r="O18" s="13">
        <v>9</v>
      </c>
      <c r="P18" s="13">
        <v>4</v>
      </c>
      <c r="Q18" s="11">
        <v>1</v>
      </c>
      <c r="R18" s="11">
        <v>1</v>
      </c>
      <c r="S18" s="11">
        <v>0</v>
      </c>
      <c r="T18" s="11">
        <v>0</v>
      </c>
      <c r="U18" s="11">
        <v>4</v>
      </c>
      <c r="V18" s="83">
        <v>0</v>
      </c>
      <c r="W18" s="83">
        <v>0</v>
      </c>
      <c r="X18" s="83">
        <v>0</v>
      </c>
      <c r="Y18" s="11">
        <v>1.5</v>
      </c>
      <c r="Z18" s="11">
        <v>2.5</v>
      </c>
    </row>
    <row r="19" spans="1:26" ht="15.75" thickBot="1" x14ac:dyDescent="0.3">
      <c r="A19" s="8">
        <v>45839</v>
      </c>
      <c r="B19" s="9">
        <v>4</v>
      </c>
      <c r="C19" s="9">
        <v>4.5</v>
      </c>
      <c r="D19" s="12">
        <v>1</v>
      </c>
      <c r="E19" s="14">
        <v>3</v>
      </c>
      <c r="F19" s="15">
        <v>1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81">
        <v>0</v>
      </c>
      <c r="O19" s="16">
        <v>6</v>
      </c>
      <c r="P19" s="16">
        <v>1</v>
      </c>
      <c r="Q19" s="11">
        <v>1</v>
      </c>
      <c r="R19" s="11">
        <v>0</v>
      </c>
      <c r="S19" s="11">
        <v>0</v>
      </c>
      <c r="T19" s="11">
        <v>1</v>
      </c>
      <c r="U19" s="11">
        <v>4</v>
      </c>
      <c r="V19" s="11">
        <v>0</v>
      </c>
      <c r="W19" s="11">
        <v>0</v>
      </c>
      <c r="X19" s="11">
        <v>4</v>
      </c>
      <c r="Y19" s="11">
        <v>2</v>
      </c>
      <c r="Z19" s="11">
        <v>5.5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49.5</v>
      </c>
      <c r="C23" s="21">
        <f t="shared" si="0"/>
        <v>44.17</v>
      </c>
      <c r="D23" s="21">
        <f t="shared" si="0"/>
        <v>29.87</v>
      </c>
      <c r="E23" s="21">
        <f t="shared" si="0"/>
        <v>3.5</v>
      </c>
      <c r="F23" s="21">
        <f t="shared" si="0"/>
        <v>9</v>
      </c>
      <c r="G23" s="21">
        <f t="shared" si="0"/>
        <v>0</v>
      </c>
      <c r="H23" s="21">
        <f t="shared" si="0"/>
        <v>3</v>
      </c>
      <c r="I23" s="21">
        <f t="shared" si="0"/>
        <v>0</v>
      </c>
      <c r="J23" s="21">
        <f t="shared" si="0"/>
        <v>1</v>
      </c>
      <c r="K23" s="21">
        <f t="shared" si="0"/>
        <v>3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/>
      <c r="P23" s="21">
        <f t="shared" ref="P23:Z23" si="1">SUM(P8:P19)</f>
        <v>134</v>
      </c>
      <c r="Q23" s="21">
        <f t="shared" si="1"/>
        <v>105</v>
      </c>
      <c r="R23" s="21">
        <f t="shared" si="1"/>
        <v>66</v>
      </c>
      <c r="S23" s="21">
        <f t="shared" si="1"/>
        <v>5</v>
      </c>
      <c r="T23" s="21">
        <f t="shared" si="1"/>
        <v>34</v>
      </c>
      <c r="U23" s="21">
        <f t="shared" si="1"/>
        <v>28</v>
      </c>
      <c r="V23" s="21">
        <f t="shared" si="1"/>
        <v>0</v>
      </c>
      <c r="W23" s="21">
        <f t="shared" si="1"/>
        <v>0</v>
      </c>
      <c r="X23" s="21">
        <f t="shared" si="1"/>
        <v>4</v>
      </c>
      <c r="Y23" s="21">
        <f t="shared" si="1"/>
        <v>43.5</v>
      </c>
      <c r="Z23" s="21">
        <f t="shared" si="1"/>
        <v>48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29.87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3.5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9</v>
      </c>
    </row>
    <row r="30" spans="1:26" ht="15.75" thickBot="1" x14ac:dyDescent="0.3">
      <c r="M30" s="164" t="s">
        <v>145</v>
      </c>
      <c r="N30" s="165"/>
      <c r="O30" s="165"/>
      <c r="P30" s="166"/>
      <c r="Q30" s="17">
        <v>3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1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4" workbookViewId="0">
      <selection sqref="A1:XFD1048576"/>
    </sheetView>
  </sheetViews>
  <sheetFormatPr defaultRowHeight="15" x14ac:dyDescent="0.25"/>
  <sheetData>
    <row r="1" spans="1:26" x14ac:dyDescent="0.25">
      <c r="A1" s="131" t="s">
        <v>110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9">
        <v>0</v>
      </c>
      <c r="C16" s="9">
        <v>2.2999999999999998</v>
      </c>
      <c r="D16" s="10">
        <v>0</v>
      </c>
      <c r="E16" s="10">
        <v>0</v>
      </c>
      <c r="F16" s="10">
        <v>0</v>
      </c>
      <c r="G16" s="10">
        <v>0</v>
      </c>
      <c r="H16" s="10">
        <v>4</v>
      </c>
      <c r="I16" s="10">
        <v>1</v>
      </c>
      <c r="J16" s="12">
        <v>0</v>
      </c>
      <c r="K16" s="13">
        <v>5</v>
      </c>
      <c r="L16" s="13">
        <v>25</v>
      </c>
      <c r="M16" s="13">
        <v>5</v>
      </c>
      <c r="N16" s="13">
        <v>26</v>
      </c>
      <c r="O16" s="13">
        <v>2</v>
      </c>
      <c r="P16" s="13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0">
        <v>0</v>
      </c>
      <c r="W16" s="10">
        <v>0</v>
      </c>
      <c r="X16" s="11">
        <v>0</v>
      </c>
      <c r="Y16" s="11" t="s">
        <v>111</v>
      </c>
      <c r="Z16" s="11">
        <v>1</v>
      </c>
    </row>
    <row r="17" spans="1:27" ht="15.75" thickBot="1" x14ac:dyDescent="0.3">
      <c r="A17" s="8">
        <v>45778</v>
      </c>
      <c r="B17" s="9">
        <v>0</v>
      </c>
      <c r="C17" s="9">
        <v>3.6</v>
      </c>
      <c r="D17" s="10">
        <v>1</v>
      </c>
      <c r="E17" s="10">
        <v>0</v>
      </c>
      <c r="F17" s="10">
        <v>0</v>
      </c>
      <c r="G17" s="10">
        <v>0</v>
      </c>
      <c r="H17" s="10">
        <v>5</v>
      </c>
      <c r="I17" s="10">
        <v>1</v>
      </c>
      <c r="J17" s="12">
        <v>0</v>
      </c>
      <c r="K17" s="13">
        <v>6</v>
      </c>
      <c r="L17" s="13">
        <v>20</v>
      </c>
      <c r="M17" s="13">
        <v>8</v>
      </c>
      <c r="N17" s="13">
        <v>38</v>
      </c>
      <c r="O17" s="13">
        <v>10</v>
      </c>
      <c r="P17" s="13">
        <v>5</v>
      </c>
      <c r="Q17" s="11">
        <v>4</v>
      </c>
      <c r="R17" s="11">
        <v>4</v>
      </c>
      <c r="S17" s="11">
        <v>0</v>
      </c>
      <c r="T17" s="11">
        <v>0</v>
      </c>
      <c r="U17" s="11">
        <v>1</v>
      </c>
      <c r="V17" s="10">
        <v>0</v>
      </c>
      <c r="W17" s="10">
        <v>0</v>
      </c>
      <c r="X17" s="11">
        <v>1</v>
      </c>
      <c r="Y17" s="11" t="s">
        <v>111</v>
      </c>
      <c r="Z17" s="11">
        <v>0</v>
      </c>
    </row>
    <row r="18" spans="1:27" ht="15.75" thickBot="1" x14ac:dyDescent="0.3">
      <c r="A18" s="8">
        <v>45809</v>
      </c>
      <c r="B18" s="9">
        <v>2</v>
      </c>
      <c r="C18" s="9">
        <v>3</v>
      </c>
      <c r="D18" s="10">
        <v>0</v>
      </c>
      <c r="E18" s="10">
        <v>2</v>
      </c>
      <c r="F18" s="10">
        <v>1</v>
      </c>
      <c r="G18" s="10">
        <v>1</v>
      </c>
      <c r="H18" s="10">
        <v>0</v>
      </c>
      <c r="I18" s="10">
        <v>0</v>
      </c>
      <c r="J18" s="12">
        <v>1</v>
      </c>
      <c r="K18" s="13">
        <v>4</v>
      </c>
      <c r="L18" s="13">
        <v>3</v>
      </c>
      <c r="M18" s="13">
        <v>12</v>
      </c>
      <c r="N18" s="13">
        <v>5</v>
      </c>
      <c r="O18" s="13">
        <v>11</v>
      </c>
      <c r="P18" s="13">
        <v>6</v>
      </c>
      <c r="Q18" s="11">
        <v>11</v>
      </c>
      <c r="R18" s="11">
        <v>8</v>
      </c>
      <c r="S18" s="11">
        <v>2</v>
      </c>
      <c r="T18" s="11">
        <v>1</v>
      </c>
      <c r="U18" s="11">
        <v>2</v>
      </c>
      <c r="V18" s="10">
        <v>0</v>
      </c>
      <c r="W18" s="10">
        <v>0</v>
      </c>
      <c r="X18" s="11">
        <v>2</v>
      </c>
      <c r="Y18" s="11" t="s">
        <v>111</v>
      </c>
      <c r="Z18" s="11">
        <v>1.5</v>
      </c>
    </row>
    <row r="19" spans="1:27" ht="15.75" thickBot="1" x14ac:dyDescent="0.3">
      <c r="A19" s="8">
        <v>45839</v>
      </c>
      <c r="B19" s="9">
        <v>4</v>
      </c>
      <c r="C19" s="9">
        <v>3.5</v>
      </c>
      <c r="D19" s="12">
        <v>0</v>
      </c>
      <c r="E19" s="14">
        <v>3.5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3</v>
      </c>
      <c r="P19" s="15">
        <v>1</v>
      </c>
      <c r="Q19" s="15">
        <v>0</v>
      </c>
      <c r="R19" s="15">
        <v>0</v>
      </c>
      <c r="S19" s="15">
        <v>0</v>
      </c>
      <c r="T19" s="15">
        <v>0</v>
      </c>
      <c r="U19" s="15">
        <v>2</v>
      </c>
      <c r="V19" s="15">
        <v>0</v>
      </c>
      <c r="W19" s="15">
        <v>0</v>
      </c>
      <c r="X19" s="15">
        <v>2</v>
      </c>
      <c r="Y19" s="15">
        <v>0</v>
      </c>
      <c r="Z19" s="15">
        <v>0</v>
      </c>
      <c r="AA19" t="s">
        <v>139</v>
      </c>
    </row>
    <row r="20" spans="1:27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7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7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7" ht="15.75" thickBot="1" x14ac:dyDescent="0.3">
      <c r="B23" s="21">
        <f t="shared" ref="B23:N23" si="0">SUM(B8:B19)</f>
        <v>6</v>
      </c>
      <c r="C23" s="21">
        <f t="shared" si="0"/>
        <v>12.4</v>
      </c>
      <c r="D23" s="21">
        <f t="shared" si="0"/>
        <v>1</v>
      </c>
      <c r="E23" s="21">
        <f t="shared" si="0"/>
        <v>5.5</v>
      </c>
      <c r="F23" s="21">
        <f t="shared" si="0"/>
        <v>1</v>
      </c>
      <c r="G23" s="21">
        <f t="shared" si="0"/>
        <v>1</v>
      </c>
      <c r="H23" s="21">
        <f t="shared" si="0"/>
        <v>9</v>
      </c>
      <c r="I23" s="21">
        <f t="shared" si="0"/>
        <v>2</v>
      </c>
      <c r="J23" s="21">
        <f t="shared" si="0"/>
        <v>1</v>
      </c>
      <c r="K23" s="21">
        <f t="shared" si="0"/>
        <v>15</v>
      </c>
      <c r="L23" s="21">
        <f t="shared" si="0"/>
        <v>48</v>
      </c>
      <c r="M23" s="21">
        <f t="shared" si="0"/>
        <v>25</v>
      </c>
      <c r="N23" s="21">
        <f t="shared" si="0"/>
        <v>69</v>
      </c>
      <c r="O23" s="21">
        <f>SUM(O8:O19)</f>
        <v>26</v>
      </c>
      <c r="P23" s="21">
        <f t="shared" ref="P23:Z23" si="1">SUM(P8:P22)</f>
        <v>12</v>
      </c>
      <c r="Q23" s="21">
        <f t="shared" si="1"/>
        <v>15</v>
      </c>
      <c r="R23" s="21">
        <f t="shared" si="1"/>
        <v>12</v>
      </c>
      <c r="S23" s="21">
        <f t="shared" si="1"/>
        <v>2</v>
      </c>
      <c r="T23" s="21">
        <f t="shared" si="1"/>
        <v>1</v>
      </c>
      <c r="U23" s="21">
        <f t="shared" si="1"/>
        <v>5</v>
      </c>
      <c r="V23" s="21">
        <f t="shared" si="1"/>
        <v>0</v>
      </c>
      <c r="W23" s="21">
        <f t="shared" si="1"/>
        <v>0</v>
      </c>
      <c r="X23" s="21">
        <f t="shared" si="1"/>
        <v>5</v>
      </c>
      <c r="Y23" s="21">
        <f t="shared" si="1"/>
        <v>0</v>
      </c>
      <c r="Z23" s="21">
        <f t="shared" si="1"/>
        <v>2.5</v>
      </c>
    </row>
    <row r="24" spans="1:27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7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7" ht="15.75" thickBot="1" x14ac:dyDescent="0.3">
      <c r="A26" s="167">
        <v>2</v>
      </c>
      <c r="B26" s="168"/>
      <c r="C26" s="168"/>
      <c r="D26" s="169"/>
      <c r="E26" s="167"/>
      <c r="F26" s="168"/>
      <c r="G26" s="168"/>
      <c r="H26" s="168"/>
      <c r="I26" s="169"/>
      <c r="J26" s="167">
        <v>4</v>
      </c>
      <c r="K26" s="169"/>
      <c r="M26" s="164" t="s">
        <v>39</v>
      </c>
      <c r="N26" s="165"/>
      <c r="O26" s="165"/>
      <c r="P26" s="166"/>
      <c r="Q26" s="17">
        <v>1</v>
      </c>
    </row>
    <row r="27" spans="1:27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5.5</v>
      </c>
      <c r="R27" s="22"/>
      <c r="S27" s="22"/>
      <c r="T27" s="22"/>
    </row>
    <row r="28" spans="1:27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7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1</v>
      </c>
    </row>
    <row r="30" spans="1:27" ht="15.75" thickBot="1" x14ac:dyDescent="0.3">
      <c r="M30" s="164" t="s">
        <v>145</v>
      </c>
      <c r="N30" s="165"/>
      <c r="O30" s="165"/>
      <c r="P30" s="166"/>
      <c r="Q30" s="17">
        <v>10</v>
      </c>
    </row>
    <row r="31" spans="1:27" ht="15.75" thickBot="1" x14ac:dyDescent="0.3">
      <c r="M31" s="164" t="s">
        <v>43</v>
      </c>
      <c r="N31" s="165"/>
      <c r="O31" s="165"/>
      <c r="P31" s="166"/>
      <c r="Q31" s="23">
        <v>3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opLeftCell="A18" workbookViewId="0">
      <selection activeCell="F34" sqref="F34"/>
    </sheetView>
  </sheetViews>
  <sheetFormatPr defaultRowHeight="15" x14ac:dyDescent="0.25"/>
  <sheetData>
    <row r="1" spans="1:26" x14ac:dyDescent="0.25">
      <c r="A1" s="131" t="s">
        <v>147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148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2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2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2">
        <v>0</v>
      </c>
    </row>
    <row r="19" spans="1:26" ht="15.75" thickBot="1" x14ac:dyDescent="0.3">
      <c r="A19" s="8">
        <v>45839</v>
      </c>
      <c r="B19" s="10">
        <v>2</v>
      </c>
      <c r="C19" s="10">
        <v>2</v>
      </c>
      <c r="D19" s="10">
        <v>0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2</v>
      </c>
      <c r="Z19" s="12">
        <v>0.5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2</v>
      </c>
      <c r="C23" s="21">
        <f t="shared" si="0"/>
        <v>2</v>
      </c>
      <c r="D23" s="21">
        <f t="shared" si="0"/>
        <v>0</v>
      </c>
      <c r="E23" s="21">
        <f t="shared" si="0"/>
        <v>2</v>
      </c>
      <c r="F23" s="21">
        <f t="shared" si="0"/>
        <v>0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>
        <f>SUM(O8:O19)</f>
        <v>0</v>
      </c>
      <c r="P23" s="21">
        <f t="shared" ref="P23:Z23" si="1">SUM(P8:P22)</f>
        <v>0</v>
      </c>
      <c r="Q23" s="21">
        <f t="shared" si="1"/>
        <v>0</v>
      </c>
      <c r="R23" s="21">
        <f t="shared" si="1"/>
        <v>0</v>
      </c>
      <c r="S23" s="21">
        <f t="shared" si="1"/>
        <v>0</v>
      </c>
      <c r="T23" s="21">
        <f t="shared" si="1"/>
        <v>0</v>
      </c>
      <c r="U23" s="21">
        <f t="shared" si="1"/>
        <v>0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2</v>
      </c>
      <c r="Z23" s="21">
        <f t="shared" si="1"/>
        <v>0.5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0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2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/>
    </row>
    <row r="30" spans="1:26" ht="15.75" thickBot="1" x14ac:dyDescent="0.3">
      <c r="M30" s="164" t="s">
        <v>145</v>
      </c>
      <c r="N30" s="165"/>
      <c r="O30" s="165"/>
      <c r="P30" s="166"/>
      <c r="Q30" s="17"/>
    </row>
    <row r="31" spans="1:26" ht="15.75" thickBot="1" x14ac:dyDescent="0.3">
      <c r="M31" s="164" t="s">
        <v>43</v>
      </c>
      <c r="N31" s="165"/>
      <c r="O31" s="165"/>
      <c r="P31" s="166"/>
      <c r="Q31" s="23"/>
    </row>
  </sheetData>
  <mergeCells count="31">
    <mergeCell ref="Q27:Q28"/>
    <mergeCell ref="A28:D28"/>
    <mergeCell ref="A29:D29"/>
    <mergeCell ref="M29:P29"/>
    <mergeCell ref="M30:P30"/>
    <mergeCell ref="A24:P24"/>
    <mergeCell ref="A25:D25"/>
    <mergeCell ref="E25:I25"/>
    <mergeCell ref="J25:K25"/>
    <mergeCell ref="M31:P31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opLeftCell="G8" workbookViewId="0">
      <selection activeCell="G8" sqref="A1:XFD1048576"/>
    </sheetView>
  </sheetViews>
  <sheetFormatPr defaultRowHeight="15" x14ac:dyDescent="0.25"/>
  <sheetData>
    <row r="1" spans="1:26" x14ac:dyDescent="0.25">
      <c r="A1" s="131" t="s">
        <v>149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148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2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2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2">
        <v>0</v>
      </c>
    </row>
    <row r="19" spans="1:26" ht="15.75" thickBot="1" x14ac:dyDescent="0.3">
      <c r="A19" s="8">
        <v>45839</v>
      </c>
      <c r="B19" s="10">
        <v>2</v>
      </c>
      <c r="C19" s="10">
        <v>2</v>
      </c>
      <c r="D19" s="10">
        <v>0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2</v>
      </c>
      <c r="Z19" s="12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2</v>
      </c>
      <c r="C23" s="21">
        <f t="shared" si="0"/>
        <v>2</v>
      </c>
      <c r="D23" s="21">
        <f t="shared" si="0"/>
        <v>0</v>
      </c>
      <c r="E23" s="21">
        <f t="shared" si="0"/>
        <v>2</v>
      </c>
      <c r="F23" s="21">
        <f t="shared" si="0"/>
        <v>0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>
        <f>SUM(O8:O19)</f>
        <v>0</v>
      </c>
      <c r="P23" s="21">
        <f t="shared" ref="P23:Z23" si="1">SUM(P8:P22)</f>
        <v>0</v>
      </c>
      <c r="Q23" s="21">
        <f t="shared" si="1"/>
        <v>0</v>
      </c>
      <c r="R23" s="21">
        <f t="shared" si="1"/>
        <v>0</v>
      </c>
      <c r="S23" s="21">
        <f t="shared" si="1"/>
        <v>0</v>
      </c>
      <c r="T23" s="21">
        <f t="shared" si="1"/>
        <v>0</v>
      </c>
      <c r="U23" s="21">
        <f t="shared" si="1"/>
        <v>0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2</v>
      </c>
      <c r="Z23" s="21">
        <f t="shared" si="1"/>
        <v>0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/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/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/>
    </row>
    <row r="30" spans="1:26" ht="15.75" thickBot="1" x14ac:dyDescent="0.3">
      <c r="M30" s="164" t="s">
        <v>145</v>
      </c>
      <c r="N30" s="165"/>
      <c r="O30" s="165"/>
      <c r="P30" s="166"/>
      <c r="Q30" s="17"/>
    </row>
    <row r="31" spans="1:26" ht="15.75" thickBot="1" x14ac:dyDescent="0.3">
      <c r="M31" s="164" t="s">
        <v>43</v>
      </c>
      <c r="N31" s="165"/>
      <c r="O31" s="165"/>
      <c r="P31" s="166"/>
      <c r="Q31" s="23"/>
    </row>
  </sheetData>
  <mergeCells count="31">
    <mergeCell ref="Q27:Q28"/>
    <mergeCell ref="A28:D28"/>
    <mergeCell ref="A29:D29"/>
    <mergeCell ref="M29:P29"/>
    <mergeCell ref="M30:P30"/>
    <mergeCell ref="A24:P24"/>
    <mergeCell ref="A25:D25"/>
    <mergeCell ref="E25:I25"/>
    <mergeCell ref="J25:K25"/>
    <mergeCell ref="M31:P31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opLeftCell="A4" workbookViewId="0">
      <selection activeCell="R20" sqref="R20"/>
    </sheetView>
  </sheetViews>
  <sheetFormatPr defaultRowHeight="15" x14ac:dyDescent="0.25"/>
  <sheetData>
    <row r="1" spans="1:26" x14ac:dyDescent="0.25">
      <c r="A1" s="131" t="s">
        <v>151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148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2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2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2">
        <v>0</v>
      </c>
    </row>
    <row r="19" spans="1:26" ht="15.75" thickBot="1" x14ac:dyDescent="0.3">
      <c r="A19" s="8">
        <v>45839</v>
      </c>
      <c r="B19" s="10">
        <v>2</v>
      </c>
      <c r="C19" s="10">
        <v>2</v>
      </c>
      <c r="D19" s="10">
        <v>0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2</v>
      </c>
      <c r="Z19" s="12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2</v>
      </c>
      <c r="C23" s="21">
        <f t="shared" si="0"/>
        <v>2</v>
      </c>
      <c r="D23" s="21">
        <f t="shared" si="0"/>
        <v>0</v>
      </c>
      <c r="E23" s="21">
        <f t="shared" si="0"/>
        <v>2</v>
      </c>
      <c r="F23" s="21">
        <f t="shared" si="0"/>
        <v>0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>
        <f>SUM(O8:O19)</f>
        <v>0</v>
      </c>
      <c r="P23" s="21">
        <f t="shared" ref="P23:Z23" si="1">SUM(P8:P22)</f>
        <v>0</v>
      </c>
      <c r="Q23" s="21">
        <f t="shared" si="1"/>
        <v>0</v>
      </c>
      <c r="R23" s="21">
        <f t="shared" si="1"/>
        <v>0</v>
      </c>
      <c r="S23" s="21">
        <f t="shared" si="1"/>
        <v>0</v>
      </c>
      <c r="T23" s="21">
        <f t="shared" si="1"/>
        <v>0</v>
      </c>
      <c r="U23" s="21">
        <f t="shared" si="1"/>
        <v>0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2</v>
      </c>
      <c r="Z23" s="21">
        <f t="shared" si="1"/>
        <v>0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/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/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/>
    </row>
    <row r="30" spans="1:26" ht="15.75" thickBot="1" x14ac:dyDescent="0.3">
      <c r="M30" s="164" t="s">
        <v>145</v>
      </c>
      <c r="N30" s="165"/>
      <c r="O30" s="165"/>
      <c r="P30" s="166"/>
      <c r="Q30" s="17"/>
    </row>
    <row r="31" spans="1:26" ht="15.75" thickBot="1" x14ac:dyDescent="0.3">
      <c r="M31" s="164" t="s">
        <v>43</v>
      </c>
      <c r="N31" s="165"/>
      <c r="O31" s="165"/>
      <c r="P31" s="166"/>
      <c r="Q31" s="23"/>
    </row>
  </sheetData>
  <mergeCells count="31">
    <mergeCell ref="Q27:Q28"/>
    <mergeCell ref="A28:D28"/>
    <mergeCell ref="A29:D29"/>
    <mergeCell ref="M29:P29"/>
    <mergeCell ref="M30:P30"/>
    <mergeCell ref="A24:P24"/>
    <mergeCell ref="A25:D25"/>
    <mergeCell ref="E25:I25"/>
    <mergeCell ref="J25:K25"/>
    <mergeCell ref="M31:P31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opLeftCell="G1" workbookViewId="0">
      <selection activeCell="W21" sqref="W21"/>
    </sheetView>
  </sheetViews>
  <sheetFormatPr defaultRowHeight="15" x14ac:dyDescent="0.25"/>
  <sheetData>
    <row r="1" spans="1:26" x14ac:dyDescent="0.25">
      <c r="A1" s="131" t="s">
        <v>150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148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2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2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2">
        <v>0</v>
      </c>
    </row>
    <row r="19" spans="1:26" ht="15.75" thickBot="1" x14ac:dyDescent="0.3">
      <c r="A19" s="8">
        <v>45839</v>
      </c>
      <c r="B19" s="10">
        <v>1</v>
      </c>
      <c r="C19" s="10">
        <v>2</v>
      </c>
      <c r="D19" s="10">
        <v>0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2</v>
      </c>
      <c r="Z19" s="12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1</v>
      </c>
      <c r="C23" s="21">
        <f t="shared" si="0"/>
        <v>2</v>
      </c>
      <c r="D23" s="21">
        <f t="shared" si="0"/>
        <v>0</v>
      </c>
      <c r="E23" s="21">
        <f t="shared" si="0"/>
        <v>2</v>
      </c>
      <c r="F23" s="21">
        <f t="shared" si="0"/>
        <v>0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>
        <f>SUM(O8:O19)</f>
        <v>0</v>
      </c>
      <c r="P23" s="21">
        <f t="shared" ref="P23:Z23" si="1">SUM(P8:P22)</f>
        <v>0</v>
      </c>
      <c r="Q23" s="21">
        <f t="shared" si="1"/>
        <v>0</v>
      </c>
      <c r="R23" s="21">
        <f t="shared" si="1"/>
        <v>0</v>
      </c>
      <c r="S23" s="21">
        <f t="shared" si="1"/>
        <v>0</v>
      </c>
      <c r="T23" s="21">
        <f t="shared" si="1"/>
        <v>0</v>
      </c>
      <c r="U23" s="21">
        <f t="shared" si="1"/>
        <v>0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2</v>
      </c>
      <c r="Z23" s="21">
        <f t="shared" si="1"/>
        <v>0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/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/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/>
    </row>
    <row r="30" spans="1:26" ht="15.75" thickBot="1" x14ac:dyDescent="0.3">
      <c r="M30" s="164" t="s">
        <v>145</v>
      </c>
      <c r="N30" s="165"/>
      <c r="O30" s="165"/>
      <c r="P30" s="166"/>
      <c r="Q30" s="17"/>
    </row>
    <row r="31" spans="1:26" ht="15.75" thickBot="1" x14ac:dyDescent="0.3">
      <c r="M31" s="164" t="s">
        <v>43</v>
      </c>
      <c r="N31" s="165"/>
      <c r="O31" s="165"/>
      <c r="P31" s="166"/>
      <c r="Q31" s="23"/>
    </row>
  </sheetData>
  <mergeCells count="31">
    <mergeCell ref="Q27:Q28"/>
    <mergeCell ref="A28:D28"/>
    <mergeCell ref="A29:D29"/>
    <mergeCell ref="M29:P29"/>
    <mergeCell ref="M30:P30"/>
    <mergeCell ref="A24:P24"/>
    <mergeCell ref="A25:D25"/>
    <mergeCell ref="E25:I25"/>
    <mergeCell ref="J25:K25"/>
    <mergeCell ref="M31:P31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topLeftCell="A7" workbookViewId="0">
      <selection sqref="A1:Z4"/>
    </sheetView>
  </sheetViews>
  <sheetFormatPr defaultRowHeight="15" x14ac:dyDescent="0.25"/>
  <sheetData>
    <row r="1" spans="1:26" x14ac:dyDescent="0.25">
      <c r="A1" s="131" t="s">
        <v>152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2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2" t="s">
        <v>30</v>
      </c>
      <c r="V7" s="2" t="s">
        <v>31</v>
      </c>
      <c r="W7" s="2" t="s">
        <v>32</v>
      </c>
      <c r="X7" s="7" t="s">
        <v>26</v>
      </c>
      <c r="Y7" s="146"/>
      <c r="Z7" s="146"/>
    </row>
    <row r="8" spans="1:26" ht="15.75" thickBot="1" x14ac:dyDescent="0.3">
      <c r="A8" s="8">
        <v>45505</v>
      </c>
      <c r="B8" s="10">
        <v>3</v>
      </c>
      <c r="C8" s="10">
        <v>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2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2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2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2">
        <v>0</v>
      </c>
    </row>
    <row r="19" spans="1:26" ht="15.75" thickBot="1" x14ac:dyDescent="0.3">
      <c r="A19" s="8">
        <v>45839</v>
      </c>
      <c r="B19" s="10">
        <v>2</v>
      </c>
      <c r="C19" s="10">
        <v>2</v>
      </c>
      <c r="D19" s="10">
        <v>0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2</v>
      </c>
      <c r="Z19" s="12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5</v>
      </c>
      <c r="C23" s="21">
        <f t="shared" si="0"/>
        <v>5</v>
      </c>
      <c r="D23" s="21">
        <f t="shared" si="0"/>
        <v>0</v>
      </c>
      <c r="E23" s="21">
        <f t="shared" si="0"/>
        <v>2</v>
      </c>
      <c r="F23" s="21">
        <f t="shared" si="0"/>
        <v>0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>
        <f>SUM(O8:O19)</f>
        <v>0</v>
      </c>
      <c r="P23" s="21">
        <f t="shared" ref="P23:Z23" si="1">SUM(P8:P22)</f>
        <v>0</v>
      </c>
      <c r="Q23" s="21">
        <f t="shared" si="1"/>
        <v>0</v>
      </c>
      <c r="R23" s="21">
        <f t="shared" si="1"/>
        <v>0</v>
      </c>
      <c r="S23" s="21">
        <f t="shared" si="1"/>
        <v>0</v>
      </c>
      <c r="T23" s="21">
        <f t="shared" si="1"/>
        <v>0</v>
      </c>
      <c r="U23" s="21">
        <f t="shared" si="1"/>
        <v>0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2</v>
      </c>
      <c r="Z23" s="21">
        <f t="shared" si="1"/>
        <v>0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/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/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/>
    </row>
    <row r="30" spans="1:26" ht="15.75" thickBot="1" x14ac:dyDescent="0.3">
      <c r="M30" s="164" t="s">
        <v>145</v>
      </c>
      <c r="N30" s="165"/>
      <c r="O30" s="165"/>
      <c r="P30" s="166"/>
      <c r="Q30" s="17"/>
    </row>
    <row r="31" spans="1:26" ht="15.75" thickBot="1" x14ac:dyDescent="0.3">
      <c r="M31" s="164" t="s">
        <v>43</v>
      </c>
      <c r="N31" s="165"/>
      <c r="O31" s="165"/>
      <c r="P31" s="166"/>
      <c r="Q31" s="23"/>
    </row>
  </sheetData>
  <mergeCells count="31">
    <mergeCell ref="Q27:Q28"/>
    <mergeCell ref="A28:D28"/>
    <mergeCell ref="A29:D29"/>
    <mergeCell ref="M29:P29"/>
    <mergeCell ref="M30:P30"/>
    <mergeCell ref="A24:P24"/>
    <mergeCell ref="A25:D25"/>
    <mergeCell ref="E25:I25"/>
    <mergeCell ref="J25:K25"/>
    <mergeCell ref="M31:P31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109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3</v>
      </c>
      <c r="C8" s="9">
        <v>4.3</v>
      </c>
      <c r="D8" s="10">
        <v>1</v>
      </c>
      <c r="E8" s="10">
        <v>2</v>
      </c>
      <c r="F8" s="10">
        <v>1</v>
      </c>
      <c r="G8" s="10">
        <v>1</v>
      </c>
      <c r="H8" s="10">
        <v>1</v>
      </c>
      <c r="I8" s="10">
        <v>0</v>
      </c>
      <c r="J8" s="10">
        <v>0</v>
      </c>
      <c r="K8" s="10">
        <v>5</v>
      </c>
      <c r="L8" s="10">
        <v>0</v>
      </c>
      <c r="M8" s="10">
        <v>0</v>
      </c>
      <c r="N8" s="10">
        <v>0</v>
      </c>
      <c r="O8" s="10">
        <v>1</v>
      </c>
      <c r="P8" s="10">
        <v>13</v>
      </c>
      <c r="Q8" s="10">
        <v>1</v>
      </c>
      <c r="R8" s="10">
        <v>0</v>
      </c>
      <c r="S8" s="11">
        <v>1</v>
      </c>
      <c r="T8" s="11">
        <v>0</v>
      </c>
      <c r="U8" s="11">
        <v>3</v>
      </c>
      <c r="V8" s="11">
        <v>0</v>
      </c>
      <c r="W8" s="11">
        <v>0</v>
      </c>
      <c r="X8" s="11">
        <v>3</v>
      </c>
      <c r="Y8" s="11">
        <v>2</v>
      </c>
      <c r="Z8" s="11">
        <v>0</v>
      </c>
    </row>
    <row r="9" spans="1:26" ht="15.75" thickBot="1" x14ac:dyDescent="0.3">
      <c r="A9" s="8">
        <v>45536</v>
      </c>
      <c r="B9" s="9">
        <v>5</v>
      </c>
      <c r="C9" s="9">
        <v>4</v>
      </c>
      <c r="D9" s="10">
        <v>4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2">
        <v>0</v>
      </c>
      <c r="K9" s="13">
        <v>0</v>
      </c>
      <c r="L9" s="13">
        <v>0</v>
      </c>
      <c r="M9" s="13">
        <v>0</v>
      </c>
      <c r="N9" s="13">
        <v>0</v>
      </c>
      <c r="O9" s="13">
        <v>2</v>
      </c>
      <c r="P9" s="13">
        <v>12</v>
      </c>
      <c r="Q9" s="11">
        <v>1</v>
      </c>
      <c r="R9" s="11">
        <v>0</v>
      </c>
      <c r="S9" s="11">
        <v>1</v>
      </c>
      <c r="T9" s="11">
        <v>0</v>
      </c>
      <c r="U9" s="11">
        <v>1</v>
      </c>
      <c r="V9" s="11">
        <v>0</v>
      </c>
      <c r="W9" s="11">
        <v>0</v>
      </c>
      <c r="X9" s="11">
        <v>1</v>
      </c>
      <c r="Y9" s="11">
        <v>0</v>
      </c>
      <c r="Z9" s="11">
        <v>3</v>
      </c>
    </row>
    <row r="10" spans="1:26" ht="15.75" thickBot="1" x14ac:dyDescent="0.3">
      <c r="A10" s="8">
        <v>45566</v>
      </c>
      <c r="B10" s="9">
        <v>5</v>
      </c>
      <c r="C10" s="9">
        <v>3</v>
      </c>
      <c r="D10" s="10">
        <v>2</v>
      </c>
      <c r="E10" s="10">
        <v>1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5</v>
      </c>
      <c r="P10" s="13">
        <v>13</v>
      </c>
      <c r="Q10" s="11">
        <v>0</v>
      </c>
      <c r="R10" s="11">
        <v>0</v>
      </c>
      <c r="S10" s="11">
        <v>0</v>
      </c>
      <c r="T10" s="11">
        <v>0</v>
      </c>
      <c r="U10" s="11">
        <v>3</v>
      </c>
      <c r="V10" s="11">
        <v>0</v>
      </c>
      <c r="W10" s="11">
        <v>0</v>
      </c>
      <c r="X10" s="11">
        <v>3</v>
      </c>
      <c r="Y10" s="11">
        <v>2</v>
      </c>
      <c r="Z10" s="11">
        <v>0</v>
      </c>
    </row>
    <row r="11" spans="1:26" ht="15.75" thickBot="1" x14ac:dyDescent="0.3">
      <c r="A11" s="8">
        <v>45597</v>
      </c>
      <c r="B11" s="9">
        <v>2</v>
      </c>
      <c r="C11" s="9">
        <v>1.5</v>
      </c>
      <c r="D11" s="10">
        <v>1.5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2</v>
      </c>
      <c r="P11" s="13">
        <v>12</v>
      </c>
      <c r="Q11" s="11">
        <v>0</v>
      </c>
      <c r="R11" s="11">
        <v>0</v>
      </c>
      <c r="S11" s="11">
        <v>0</v>
      </c>
      <c r="T11" s="11">
        <v>0</v>
      </c>
      <c r="U11" s="11">
        <v>1</v>
      </c>
      <c r="V11" s="11">
        <v>0</v>
      </c>
      <c r="W11" s="11">
        <v>0</v>
      </c>
      <c r="X11" s="11">
        <v>1</v>
      </c>
      <c r="Y11" s="11">
        <v>1</v>
      </c>
      <c r="Z11" s="11">
        <v>1.5</v>
      </c>
    </row>
    <row r="12" spans="1:26" ht="15.75" thickBot="1" x14ac:dyDescent="0.3">
      <c r="A12" s="8">
        <v>45627</v>
      </c>
      <c r="B12" s="9">
        <v>4</v>
      </c>
      <c r="C12" s="9">
        <v>4</v>
      </c>
      <c r="D12" s="10">
        <v>4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6</v>
      </c>
      <c r="P12" s="13">
        <v>28</v>
      </c>
      <c r="Q12" s="11">
        <v>8</v>
      </c>
      <c r="R12" s="11">
        <v>0</v>
      </c>
      <c r="S12" s="11">
        <v>8</v>
      </c>
      <c r="T12" s="11">
        <v>0</v>
      </c>
      <c r="U12" s="11">
        <v>2</v>
      </c>
      <c r="V12" s="11">
        <v>0</v>
      </c>
      <c r="W12" s="11">
        <v>0</v>
      </c>
      <c r="X12" s="11">
        <v>2</v>
      </c>
      <c r="Y12" s="11">
        <v>1</v>
      </c>
      <c r="Z12" s="11">
        <v>1</v>
      </c>
    </row>
    <row r="13" spans="1:26" ht="15.75" thickBot="1" x14ac:dyDescent="0.3">
      <c r="A13" s="8">
        <v>45658</v>
      </c>
      <c r="B13" s="9">
        <v>3</v>
      </c>
      <c r="C13" s="9">
        <v>6.8</v>
      </c>
      <c r="D13" s="10">
        <v>5</v>
      </c>
      <c r="E13" s="10">
        <v>0</v>
      </c>
      <c r="F13" s="10">
        <v>1</v>
      </c>
      <c r="G13" s="10">
        <v>0</v>
      </c>
      <c r="H13" s="10">
        <v>4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2</v>
      </c>
      <c r="P13" s="13">
        <v>32</v>
      </c>
      <c r="Q13" s="11">
        <v>7</v>
      </c>
      <c r="R13" s="11">
        <v>0</v>
      </c>
      <c r="S13" s="11">
        <v>7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1</v>
      </c>
      <c r="Z13" s="11">
        <v>1.5</v>
      </c>
    </row>
    <row r="14" spans="1:26" ht="15.75" thickBot="1" x14ac:dyDescent="0.3">
      <c r="A14" s="8">
        <v>45689</v>
      </c>
      <c r="B14" s="9">
        <v>4</v>
      </c>
      <c r="C14" s="9">
        <v>9</v>
      </c>
      <c r="D14" s="10">
        <v>6.5</v>
      </c>
      <c r="E14" s="10">
        <v>0</v>
      </c>
      <c r="F14" s="10">
        <v>4</v>
      </c>
      <c r="G14" s="10">
        <v>1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11</v>
      </c>
      <c r="P14" s="13">
        <v>42</v>
      </c>
      <c r="Q14" s="11">
        <v>2</v>
      </c>
      <c r="R14" s="11">
        <v>0</v>
      </c>
      <c r="S14" s="11">
        <v>2</v>
      </c>
      <c r="T14" s="11">
        <v>0</v>
      </c>
      <c r="U14" s="11">
        <v>3</v>
      </c>
      <c r="V14" s="11">
        <v>0</v>
      </c>
      <c r="W14" s="11">
        <v>0</v>
      </c>
      <c r="X14" s="11">
        <v>3</v>
      </c>
      <c r="Y14" s="11">
        <v>1</v>
      </c>
      <c r="Z14" s="11">
        <v>0</v>
      </c>
    </row>
    <row r="15" spans="1:26" ht="15.75" thickBot="1" x14ac:dyDescent="0.3">
      <c r="A15" s="8">
        <v>45717</v>
      </c>
      <c r="B15" s="9">
        <v>2</v>
      </c>
      <c r="C15" s="9">
        <v>5.5</v>
      </c>
      <c r="D15" s="10">
        <v>3.5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24</v>
      </c>
      <c r="P15" s="13">
        <v>39</v>
      </c>
      <c r="Q15" s="11">
        <v>0</v>
      </c>
      <c r="R15" s="11">
        <v>0</v>
      </c>
      <c r="S15" s="11">
        <v>0</v>
      </c>
      <c r="T15" s="11">
        <v>0</v>
      </c>
      <c r="U15" s="11">
        <v>2</v>
      </c>
      <c r="V15" s="11">
        <v>0</v>
      </c>
      <c r="W15" s="11">
        <v>0</v>
      </c>
      <c r="X15" s="11">
        <v>2</v>
      </c>
      <c r="Y15" s="11">
        <v>1</v>
      </c>
      <c r="Z15" s="11">
        <v>2</v>
      </c>
    </row>
    <row r="16" spans="1:26" ht="15.75" thickBot="1" x14ac:dyDescent="0.3">
      <c r="A16" s="8">
        <v>45748</v>
      </c>
      <c r="B16" s="9">
        <v>8</v>
      </c>
      <c r="C16" s="9">
        <v>8.5</v>
      </c>
      <c r="D16" s="10">
        <v>5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2">
        <v>0</v>
      </c>
      <c r="K16" s="13">
        <v>0</v>
      </c>
      <c r="L16" s="13">
        <v>0</v>
      </c>
      <c r="M16" s="13">
        <v>0</v>
      </c>
      <c r="N16" s="13">
        <v>0</v>
      </c>
      <c r="O16" s="13">
        <v>35</v>
      </c>
      <c r="P16" s="13">
        <v>37</v>
      </c>
      <c r="Q16" s="11">
        <v>0</v>
      </c>
      <c r="R16" s="11">
        <v>0</v>
      </c>
      <c r="S16" s="11">
        <v>0</v>
      </c>
      <c r="T16" s="11">
        <v>0</v>
      </c>
      <c r="U16" s="11">
        <v>4</v>
      </c>
      <c r="V16" s="11">
        <v>0</v>
      </c>
      <c r="W16" s="11">
        <v>0</v>
      </c>
      <c r="X16" s="11">
        <v>4</v>
      </c>
      <c r="Y16" s="11">
        <v>1</v>
      </c>
      <c r="Z16" s="11">
        <v>2</v>
      </c>
    </row>
    <row r="17" spans="1:26" ht="15.75" thickBot="1" x14ac:dyDescent="0.3">
      <c r="A17" s="8">
        <v>45778</v>
      </c>
      <c r="B17" s="9">
        <v>1</v>
      </c>
      <c r="C17" s="9">
        <v>2.5</v>
      </c>
      <c r="D17" s="10">
        <v>2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0</v>
      </c>
      <c r="O17" s="13">
        <v>4</v>
      </c>
      <c r="P17" s="13">
        <v>11</v>
      </c>
      <c r="Q17" s="11">
        <v>0</v>
      </c>
      <c r="R17" s="11">
        <v>0</v>
      </c>
      <c r="S17" s="11">
        <v>0</v>
      </c>
      <c r="T17" s="11">
        <v>0</v>
      </c>
      <c r="U17" s="11">
        <v>3</v>
      </c>
      <c r="V17" s="11">
        <v>0</v>
      </c>
      <c r="W17" s="11">
        <v>0</v>
      </c>
      <c r="X17" s="11">
        <v>3</v>
      </c>
      <c r="Y17" s="11">
        <v>0</v>
      </c>
      <c r="Z17" s="11">
        <v>0</v>
      </c>
    </row>
    <row r="18" spans="1:26" ht="15.75" thickBot="1" x14ac:dyDescent="0.3">
      <c r="A18" s="8">
        <v>45809</v>
      </c>
      <c r="B18" s="9"/>
      <c r="C18" s="9"/>
      <c r="D18" s="10"/>
      <c r="E18" s="10"/>
      <c r="F18" s="10"/>
      <c r="G18" s="10"/>
      <c r="H18" s="10"/>
      <c r="I18" s="10"/>
      <c r="J18" s="12"/>
      <c r="K18" s="13"/>
      <c r="L18" s="13"/>
      <c r="M18" s="13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thickBot="1" x14ac:dyDescent="0.3">
      <c r="A19" s="8">
        <v>45839</v>
      </c>
      <c r="B19" s="9"/>
      <c r="C19" s="9"/>
      <c r="D19" s="12"/>
      <c r="E19" s="14"/>
      <c r="F19" s="15"/>
      <c r="G19" s="10"/>
      <c r="H19" s="15"/>
      <c r="I19" s="10"/>
      <c r="J19" s="12"/>
      <c r="K19" s="15"/>
      <c r="L19" s="13"/>
      <c r="M19" s="13"/>
      <c r="N19" s="15"/>
      <c r="O19" s="16"/>
      <c r="P19" s="16"/>
      <c r="Q19" s="11"/>
      <c r="R19" s="11"/>
      <c r="S19" s="11"/>
      <c r="T19" s="11"/>
      <c r="U19" s="11"/>
      <c r="V19" s="11"/>
      <c r="W19" s="11"/>
      <c r="X19" s="11"/>
      <c r="Y19" s="17"/>
      <c r="Z19" s="11"/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37</v>
      </c>
      <c r="C23" s="21">
        <f t="shared" si="0"/>
        <v>49.1</v>
      </c>
      <c r="D23" s="21">
        <f t="shared" si="0"/>
        <v>34.5</v>
      </c>
      <c r="E23" s="21">
        <f t="shared" si="0"/>
        <v>3</v>
      </c>
      <c r="F23" s="21">
        <f t="shared" si="0"/>
        <v>18</v>
      </c>
      <c r="G23" s="21">
        <f t="shared" si="0"/>
        <v>2</v>
      </c>
      <c r="H23" s="21">
        <f t="shared" si="0"/>
        <v>5</v>
      </c>
      <c r="I23" s="21">
        <f t="shared" si="0"/>
        <v>0</v>
      </c>
      <c r="J23" s="21">
        <f t="shared" si="0"/>
        <v>0</v>
      </c>
      <c r="K23" s="21">
        <f t="shared" si="0"/>
        <v>5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/>
      <c r="P23" s="21">
        <f t="shared" ref="P23:Z23" si="1">SUM(P8:P19)</f>
        <v>239</v>
      </c>
      <c r="Q23" s="21">
        <f t="shared" si="1"/>
        <v>19</v>
      </c>
      <c r="R23" s="21">
        <f t="shared" si="1"/>
        <v>0</v>
      </c>
      <c r="S23" s="21">
        <f t="shared" si="1"/>
        <v>19</v>
      </c>
      <c r="T23" s="21">
        <f t="shared" si="1"/>
        <v>0</v>
      </c>
      <c r="U23" s="21">
        <f t="shared" si="1"/>
        <v>22</v>
      </c>
      <c r="V23" s="21">
        <f t="shared" si="1"/>
        <v>0</v>
      </c>
      <c r="W23" s="21">
        <f t="shared" si="1"/>
        <v>0</v>
      </c>
      <c r="X23" s="21">
        <f t="shared" si="1"/>
        <v>22</v>
      </c>
      <c r="Y23" s="21">
        <f t="shared" si="1"/>
        <v>10</v>
      </c>
      <c r="Z23" s="21">
        <f t="shared" si="1"/>
        <v>11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34.5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3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18</v>
      </c>
    </row>
    <row r="30" spans="1:26" ht="15.75" thickBot="1" x14ac:dyDescent="0.3">
      <c r="M30" s="164" t="s">
        <v>145</v>
      </c>
      <c r="N30" s="165"/>
      <c r="O30" s="165"/>
      <c r="P30" s="166"/>
      <c r="Q30" s="17">
        <v>7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0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107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43" t="s">
        <v>1</v>
      </c>
      <c r="B6" s="145" t="s">
        <v>108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44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43" t="s">
        <v>25</v>
      </c>
      <c r="O7" s="45" t="s">
        <v>47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82">
        <v>0</v>
      </c>
    </row>
    <row r="9" spans="1:26" ht="15.75" thickBot="1" x14ac:dyDescent="0.3">
      <c r="A9" s="8">
        <v>45536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82">
        <v>0</v>
      </c>
    </row>
    <row r="10" spans="1:26" ht="15.75" thickBot="1" x14ac:dyDescent="0.3">
      <c r="A10" s="8">
        <v>45566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82">
        <v>0</v>
      </c>
    </row>
    <row r="11" spans="1:26" ht="15.75" thickBot="1" x14ac:dyDescent="0.3">
      <c r="A11" s="8">
        <v>45597</v>
      </c>
      <c r="B11" s="9">
        <v>0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2">
        <v>0</v>
      </c>
      <c r="K11" s="13">
        <v>4</v>
      </c>
      <c r="L11" s="13">
        <v>4</v>
      </c>
      <c r="M11" s="13">
        <v>0</v>
      </c>
      <c r="N11" s="13">
        <v>4</v>
      </c>
      <c r="O11" s="13">
        <v>0</v>
      </c>
      <c r="P11" s="13">
        <v>0</v>
      </c>
      <c r="Q11" s="11">
        <f>SUM(R11+S11+T11)</f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82">
        <v>0</v>
      </c>
    </row>
    <row r="12" spans="1:26" ht="15.75" thickBot="1" x14ac:dyDescent="0.3">
      <c r="A12" s="8">
        <v>45627</v>
      </c>
      <c r="B12" s="9">
        <v>0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3</v>
      </c>
      <c r="L12" s="13">
        <v>4</v>
      </c>
      <c r="M12" s="13">
        <v>0</v>
      </c>
      <c r="N12" s="13">
        <v>5</v>
      </c>
      <c r="O12" s="13">
        <v>6</v>
      </c>
      <c r="P12" s="13">
        <v>2</v>
      </c>
      <c r="Q12" s="11">
        <f>SUM(R12+S12+U12)</f>
        <v>0</v>
      </c>
      <c r="R12" s="11">
        <v>0</v>
      </c>
      <c r="S12" s="11">
        <v>0</v>
      </c>
      <c r="T12" s="58">
        <v>0</v>
      </c>
      <c r="U12" s="11">
        <v>0</v>
      </c>
      <c r="V12" s="9">
        <v>0</v>
      </c>
      <c r="W12" s="9">
        <v>0</v>
      </c>
      <c r="X12" s="9">
        <v>0</v>
      </c>
      <c r="Y12" s="9">
        <v>0</v>
      </c>
      <c r="Z12" s="82">
        <v>0</v>
      </c>
    </row>
    <row r="13" spans="1:26" ht="15.75" thickBot="1" x14ac:dyDescent="0.3">
      <c r="A13" s="8">
        <v>45658</v>
      </c>
      <c r="B13" s="9">
        <v>0</v>
      </c>
      <c r="C13" s="9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3">
        <v>3</v>
      </c>
      <c r="L13" s="13">
        <v>6</v>
      </c>
      <c r="M13" s="13">
        <v>0</v>
      </c>
      <c r="N13" s="13">
        <v>9</v>
      </c>
      <c r="O13" s="13">
        <v>10</v>
      </c>
      <c r="P13" s="13">
        <v>5</v>
      </c>
      <c r="Q13" s="11">
        <f t="shared" ref="Q13:Q19" si="0">SUM(R13+S13+T13)</f>
        <v>7</v>
      </c>
      <c r="R13" s="11">
        <v>6</v>
      </c>
      <c r="S13" s="11">
        <v>0</v>
      </c>
      <c r="T13" s="11">
        <v>1</v>
      </c>
      <c r="U13" s="11">
        <v>3</v>
      </c>
      <c r="V13" s="11">
        <v>0</v>
      </c>
      <c r="W13" s="11">
        <v>0</v>
      </c>
      <c r="X13" s="9">
        <v>3</v>
      </c>
      <c r="Y13" s="9">
        <v>0</v>
      </c>
      <c r="Z13" s="11"/>
    </row>
    <row r="14" spans="1:26" ht="15.75" thickBot="1" x14ac:dyDescent="0.3">
      <c r="A14" s="8">
        <v>45689</v>
      </c>
      <c r="B14" s="9">
        <v>0</v>
      </c>
      <c r="C14" s="9">
        <v>0.5</v>
      </c>
      <c r="D14" s="10">
        <v>0.5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12</v>
      </c>
      <c r="P14" s="13">
        <v>23</v>
      </c>
      <c r="Q14" s="11">
        <f t="shared" si="0"/>
        <v>0.5</v>
      </c>
      <c r="R14" s="11">
        <v>0</v>
      </c>
      <c r="S14" s="11">
        <v>0</v>
      </c>
      <c r="T14" s="11">
        <v>0.5</v>
      </c>
      <c r="U14" s="11">
        <v>5</v>
      </c>
      <c r="V14" s="11">
        <v>0</v>
      </c>
      <c r="W14" s="11">
        <v>0</v>
      </c>
      <c r="X14" s="9">
        <v>5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9">
        <v>1</v>
      </c>
      <c r="C15" s="9">
        <v>4.5</v>
      </c>
      <c r="D15" s="10">
        <v>4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21</v>
      </c>
      <c r="P15" s="13">
        <v>15</v>
      </c>
      <c r="Q15" s="11">
        <f t="shared" si="0"/>
        <v>20</v>
      </c>
      <c r="R15" s="11">
        <v>14</v>
      </c>
      <c r="S15" s="11">
        <v>1</v>
      </c>
      <c r="T15" s="11">
        <v>5</v>
      </c>
      <c r="U15" s="11">
        <v>0</v>
      </c>
      <c r="V15" s="11">
        <v>0</v>
      </c>
      <c r="W15" s="11">
        <v>0</v>
      </c>
      <c r="X15" s="9">
        <v>0</v>
      </c>
      <c r="Y15" s="11" t="s">
        <v>104</v>
      </c>
      <c r="Z15" s="11">
        <v>0</v>
      </c>
    </row>
    <row r="16" spans="1:26" ht="15.75" thickBot="1" x14ac:dyDescent="0.3">
      <c r="A16" s="8">
        <v>45748</v>
      </c>
      <c r="B16" s="9">
        <v>1</v>
      </c>
      <c r="C16" s="9">
        <v>9</v>
      </c>
      <c r="D16" s="10">
        <v>4</v>
      </c>
      <c r="E16" s="10">
        <v>0</v>
      </c>
      <c r="F16" s="10">
        <v>0</v>
      </c>
      <c r="G16" s="10">
        <v>0</v>
      </c>
      <c r="H16" s="10">
        <v>15</v>
      </c>
      <c r="I16" s="10">
        <v>0</v>
      </c>
      <c r="J16" s="12">
        <v>0</v>
      </c>
      <c r="K16" s="13">
        <v>0</v>
      </c>
      <c r="L16" s="13">
        <v>17</v>
      </c>
      <c r="M16" s="13">
        <v>0</v>
      </c>
      <c r="N16" s="13">
        <v>19</v>
      </c>
      <c r="O16" s="13">
        <v>37</v>
      </c>
      <c r="P16" s="13">
        <v>11</v>
      </c>
      <c r="Q16" s="11">
        <f t="shared" si="0"/>
        <v>13</v>
      </c>
      <c r="R16" s="11">
        <v>7</v>
      </c>
      <c r="S16" s="11">
        <v>2</v>
      </c>
      <c r="T16" s="11">
        <v>4</v>
      </c>
      <c r="U16" s="11">
        <v>8</v>
      </c>
      <c r="V16" s="11">
        <v>0</v>
      </c>
      <c r="W16" s="11">
        <v>0</v>
      </c>
      <c r="X16" s="11">
        <v>8</v>
      </c>
      <c r="Y16" s="11" t="s">
        <v>104</v>
      </c>
      <c r="Z16" s="11">
        <v>1</v>
      </c>
    </row>
    <row r="17" spans="1:26" ht="15.75" thickBot="1" x14ac:dyDescent="0.3">
      <c r="A17" s="8">
        <v>45778</v>
      </c>
      <c r="B17" s="9">
        <v>4</v>
      </c>
      <c r="C17" s="9">
        <v>4</v>
      </c>
      <c r="D17" s="10">
        <v>1</v>
      </c>
      <c r="E17" s="10">
        <v>2</v>
      </c>
      <c r="F17" s="10">
        <v>0</v>
      </c>
      <c r="G17" s="10">
        <v>0</v>
      </c>
      <c r="H17" s="10">
        <v>0</v>
      </c>
      <c r="I17" s="10">
        <v>0</v>
      </c>
      <c r="J17" s="12">
        <v>1</v>
      </c>
      <c r="K17" s="13">
        <v>0</v>
      </c>
      <c r="L17" s="13">
        <v>2</v>
      </c>
      <c r="M17" s="13">
        <v>0</v>
      </c>
      <c r="N17" s="13">
        <v>16</v>
      </c>
      <c r="O17" s="13">
        <v>20</v>
      </c>
      <c r="P17" s="13">
        <v>10</v>
      </c>
      <c r="Q17" s="11">
        <f t="shared" si="0"/>
        <v>23</v>
      </c>
      <c r="R17" s="11">
        <v>14</v>
      </c>
      <c r="S17" s="11">
        <v>6</v>
      </c>
      <c r="T17" s="11">
        <v>3</v>
      </c>
      <c r="U17" s="11">
        <v>9</v>
      </c>
      <c r="V17" s="11">
        <v>0</v>
      </c>
      <c r="W17" s="11">
        <v>0</v>
      </c>
      <c r="X17" s="11">
        <v>9</v>
      </c>
      <c r="Y17" s="11" t="s">
        <v>104</v>
      </c>
      <c r="Z17" s="11">
        <v>0.5</v>
      </c>
    </row>
    <row r="18" spans="1:26" ht="15.75" thickBot="1" x14ac:dyDescent="0.3">
      <c r="A18" s="8">
        <v>45809</v>
      </c>
      <c r="B18" s="9">
        <v>6</v>
      </c>
      <c r="C18" s="9">
        <v>5.55</v>
      </c>
      <c r="D18" s="10">
        <v>0</v>
      </c>
      <c r="E18" s="10">
        <v>4</v>
      </c>
      <c r="F18" s="10">
        <v>0.5</v>
      </c>
      <c r="G18" s="10">
        <v>0</v>
      </c>
      <c r="H18" s="10">
        <v>1</v>
      </c>
      <c r="I18" s="10">
        <v>0</v>
      </c>
      <c r="J18" s="12">
        <v>1</v>
      </c>
      <c r="K18" s="13">
        <v>0</v>
      </c>
      <c r="L18" s="13">
        <v>0</v>
      </c>
      <c r="M18" s="13">
        <v>0</v>
      </c>
      <c r="N18" s="13">
        <v>0</v>
      </c>
      <c r="O18" s="13">
        <v>16</v>
      </c>
      <c r="P18" s="13">
        <v>3</v>
      </c>
      <c r="Q18" s="11">
        <f t="shared" si="0"/>
        <v>7.5</v>
      </c>
      <c r="R18" s="11">
        <v>1</v>
      </c>
      <c r="S18" s="11">
        <v>2</v>
      </c>
      <c r="T18" s="11">
        <v>4.5</v>
      </c>
      <c r="U18" s="11">
        <v>11</v>
      </c>
      <c r="V18" s="11">
        <v>0</v>
      </c>
      <c r="W18" s="11">
        <v>0</v>
      </c>
      <c r="X18" s="11">
        <v>11</v>
      </c>
      <c r="Y18" s="11">
        <v>0</v>
      </c>
      <c r="Z18" s="11">
        <v>0</v>
      </c>
    </row>
    <row r="19" spans="1:26" ht="15.75" thickBot="1" x14ac:dyDescent="0.3">
      <c r="A19" s="8">
        <v>45839</v>
      </c>
      <c r="B19" s="9">
        <v>6</v>
      </c>
      <c r="C19" s="9">
        <v>6</v>
      </c>
      <c r="D19" s="12">
        <v>0</v>
      </c>
      <c r="E19" s="14">
        <v>6</v>
      </c>
      <c r="F19" s="15">
        <v>0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8</v>
      </c>
      <c r="P19" s="16">
        <v>4</v>
      </c>
      <c r="Q19" s="11">
        <f t="shared" si="0"/>
        <v>7</v>
      </c>
      <c r="R19" s="11">
        <v>3</v>
      </c>
      <c r="S19" s="11">
        <v>4</v>
      </c>
      <c r="T19" s="11">
        <v>0</v>
      </c>
      <c r="U19" s="11">
        <v>8</v>
      </c>
      <c r="V19" s="11">
        <v>0</v>
      </c>
      <c r="W19" s="11">
        <v>0</v>
      </c>
      <c r="X19" s="11">
        <v>8</v>
      </c>
      <c r="Y19" s="17" t="s">
        <v>104</v>
      </c>
      <c r="Z19" s="11">
        <v>1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1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1">SUM(B8:B19)</f>
        <v>18</v>
      </c>
      <c r="C23" s="21">
        <f t="shared" si="1"/>
        <v>29.55</v>
      </c>
      <c r="D23" s="21">
        <f t="shared" si="1"/>
        <v>9.5</v>
      </c>
      <c r="E23" s="21">
        <f t="shared" si="1"/>
        <v>12</v>
      </c>
      <c r="F23" s="21">
        <f t="shared" si="1"/>
        <v>1.5</v>
      </c>
      <c r="G23" s="21">
        <f t="shared" si="1"/>
        <v>0</v>
      </c>
      <c r="H23" s="21">
        <f t="shared" si="1"/>
        <v>16</v>
      </c>
      <c r="I23" s="21">
        <f t="shared" si="1"/>
        <v>0</v>
      </c>
      <c r="J23" s="21">
        <f t="shared" si="1"/>
        <v>2</v>
      </c>
      <c r="K23" s="21">
        <f t="shared" si="1"/>
        <v>10</v>
      </c>
      <c r="L23" s="21">
        <f t="shared" si="1"/>
        <v>33</v>
      </c>
      <c r="M23" s="21">
        <f t="shared" si="1"/>
        <v>0</v>
      </c>
      <c r="N23" s="21">
        <f t="shared" si="1"/>
        <v>53</v>
      </c>
      <c r="O23" s="21"/>
      <c r="P23" s="21">
        <f t="shared" ref="P23:Z23" si="2">SUM(P8:P19)</f>
        <v>73</v>
      </c>
      <c r="Q23" s="21">
        <f t="shared" si="2"/>
        <v>78</v>
      </c>
      <c r="R23" s="21">
        <f t="shared" si="2"/>
        <v>45</v>
      </c>
      <c r="S23" s="21">
        <f t="shared" si="2"/>
        <v>15</v>
      </c>
      <c r="T23" s="21">
        <f t="shared" si="2"/>
        <v>18</v>
      </c>
      <c r="U23" s="21">
        <f t="shared" si="2"/>
        <v>44</v>
      </c>
      <c r="V23" s="21">
        <f t="shared" si="2"/>
        <v>0</v>
      </c>
      <c r="W23" s="21">
        <f t="shared" si="2"/>
        <v>0</v>
      </c>
      <c r="X23" s="21">
        <f t="shared" si="2"/>
        <v>44</v>
      </c>
      <c r="Y23" s="21">
        <f t="shared" si="2"/>
        <v>0</v>
      </c>
      <c r="Z23" s="21">
        <f t="shared" si="2"/>
        <v>2.5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9.5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12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1.5</v>
      </c>
    </row>
    <row r="30" spans="1:26" ht="15.75" thickBot="1" x14ac:dyDescent="0.3">
      <c r="M30" s="164" t="s">
        <v>42</v>
      </c>
      <c r="N30" s="165"/>
      <c r="O30" s="165"/>
      <c r="P30" s="166"/>
      <c r="Q30" s="17">
        <v>16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2</v>
      </c>
    </row>
  </sheetData>
  <mergeCells count="31">
    <mergeCell ref="M30:P30"/>
    <mergeCell ref="M31:P31"/>
    <mergeCell ref="A24:P24"/>
    <mergeCell ref="M26:P26"/>
    <mergeCell ref="M27:P28"/>
    <mergeCell ref="Q27:Q28"/>
    <mergeCell ref="A6:A7"/>
    <mergeCell ref="A27:D27"/>
    <mergeCell ref="E27:I29"/>
    <mergeCell ref="J27:K29"/>
    <mergeCell ref="A28:D28"/>
    <mergeCell ref="A29:D29"/>
    <mergeCell ref="A25:D25"/>
    <mergeCell ref="E25:I25"/>
    <mergeCell ref="J25:K25"/>
    <mergeCell ref="A26:D26"/>
    <mergeCell ref="E26:I26"/>
    <mergeCell ref="J26:K26"/>
    <mergeCell ref="I6:J6"/>
    <mergeCell ref="K6:N6"/>
    <mergeCell ref="M29:P29"/>
    <mergeCell ref="A1:Z4"/>
    <mergeCell ref="A5:Z5"/>
    <mergeCell ref="P6:P7"/>
    <mergeCell ref="Q6:T6"/>
    <mergeCell ref="U6:X6"/>
    <mergeCell ref="Z6:Z7"/>
    <mergeCell ref="Y6:Y7"/>
    <mergeCell ref="B6:B7"/>
    <mergeCell ref="D6:F6"/>
    <mergeCell ref="G6:H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selection sqref="A1:Z4"/>
    </sheetView>
  </sheetViews>
  <sheetFormatPr defaultRowHeight="15" x14ac:dyDescent="0.25"/>
  <cols>
    <col min="11" max="11" width="11" bestFit="1" customWidth="1"/>
    <col min="27" max="27" width="14.5703125" customWidth="1"/>
  </cols>
  <sheetData>
    <row r="1" spans="1:26" x14ac:dyDescent="0.25">
      <c r="A1" s="131" t="s">
        <v>106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2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84</v>
      </c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146"/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</row>
    <row r="9" spans="1:26" ht="15.75" thickBot="1" x14ac:dyDescent="0.3">
      <c r="A9" s="8">
        <v>45536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</row>
    <row r="10" spans="1:26" ht="15.75" thickBot="1" x14ac:dyDescent="0.3">
      <c r="A10" s="8">
        <v>45566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</row>
    <row r="11" spans="1:26" ht="15.75" thickBot="1" x14ac:dyDescent="0.3">
      <c r="A11" s="8">
        <v>45597</v>
      </c>
      <c r="B11" s="9">
        <v>0</v>
      </c>
      <c r="C11" s="9">
        <v>1</v>
      </c>
      <c r="D11" s="10">
        <v>1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1">
        <v>1</v>
      </c>
      <c r="R11" s="11">
        <v>0</v>
      </c>
      <c r="S11" s="11">
        <v>1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1</v>
      </c>
    </row>
    <row r="12" spans="1:26" ht="15.75" thickBot="1" x14ac:dyDescent="0.3">
      <c r="A12" s="8">
        <v>45627</v>
      </c>
      <c r="B12" s="9">
        <v>1</v>
      </c>
      <c r="C12" s="9">
        <v>1.5</v>
      </c>
      <c r="D12" s="10">
        <v>1.5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2</v>
      </c>
      <c r="P12" s="13">
        <v>4</v>
      </c>
      <c r="Q12" s="11">
        <v>7</v>
      </c>
      <c r="R12" s="11">
        <v>4</v>
      </c>
      <c r="S12" s="11">
        <v>0</v>
      </c>
      <c r="T12" s="11">
        <v>3</v>
      </c>
      <c r="U12" s="11">
        <v>0</v>
      </c>
      <c r="V12" s="11">
        <v>0</v>
      </c>
      <c r="W12" s="11">
        <v>0</v>
      </c>
      <c r="X12" s="11">
        <v>0</v>
      </c>
      <c r="Y12" s="11" t="s">
        <v>79</v>
      </c>
      <c r="Z12" s="11">
        <v>1</v>
      </c>
    </row>
    <row r="13" spans="1:26" ht="15.75" thickBot="1" x14ac:dyDescent="0.3">
      <c r="A13" s="8">
        <v>45658</v>
      </c>
      <c r="B13" s="9">
        <v>1.3</v>
      </c>
      <c r="C13" s="9">
        <v>3</v>
      </c>
      <c r="D13" s="10">
        <v>1.5</v>
      </c>
      <c r="E13" s="10">
        <v>0</v>
      </c>
      <c r="F13" s="10">
        <v>2</v>
      </c>
      <c r="G13" s="10">
        <v>1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2</v>
      </c>
      <c r="P13" s="13">
        <v>2</v>
      </c>
      <c r="Q13" s="11">
        <v>5</v>
      </c>
      <c r="R13" s="11">
        <v>5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2</v>
      </c>
      <c r="Z13" s="11">
        <v>0</v>
      </c>
    </row>
    <row r="14" spans="1:26" ht="15.75" thickBot="1" x14ac:dyDescent="0.3">
      <c r="A14" s="8">
        <v>45689</v>
      </c>
      <c r="B14" s="9">
        <v>2</v>
      </c>
      <c r="C14" s="9">
        <v>3</v>
      </c>
      <c r="D14" s="10">
        <v>1.5</v>
      </c>
      <c r="E14" s="10">
        <v>0</v>
      </c>
      <c r="F14" s="10">
        <v>2</v>
      </c>
      <c r="G14" s="10">
        <v>1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3</v>
      </c>
      <c r="P14" s="13">
        <v>4</v>
      </c>
      <c r="Q14" s="11">
        <v>1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1</v>
      </c>
      <c r="Z14" s="11">
        <v>6</v>
      </c>
    </row>
    <row r="15" spans="1:26" ht="15.75" thickBot="1" x14ac:dyDescent="0.3">
      <c r="A15" s="8">
        <v>45717</v>
      </c>
      <c r="B15" s="9">
        <v>0</v>
      </c>
      <c r="C15" s="9">
        <v>9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8</v>
      </c>
      <c r="K15" s="13">
        <v>0</v>
      </c>
      <c r="L15" s="13">
        <v>0</v>
      </c>
      <c r="M15" s="13">
        <v>0</v>
      </c>
      <c r="N15" s="13">
        <v>0</v>
      </c>
      <c r="O15" s="13">
        <v>3</v>
      </c>
      <c r="P15" s="13">
        <v>1</v>
      </c>
      <c r="Q15" s="11">
        <v>10</v>
      </c>
      <c r="R15" s="11">
        <v>4</v>
      </c>
      <c r="S15" s="11">
        <v>1</v>
      </c>
      <c r="T15" s="11">
        <v>5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9">
        <v>2</v>
      </c>
      <c r="C16" s="9">
        <v>6.3</v>
      </c>
      <c r="D16" s="10">
        <v>1.5</v>
      </c>
      <c r="E16" s="10">
        <v>0</v>
      </c>
      <c r="F16" s="10">
        <v>0</v>
      </c>
      <c r="G16" s="10">
        <v>5</v>
      </c>
      <c r="H16" s="10">
        <v>7</v>
      </c>
      <c r="I16" s="10">
        <v>0</v>
      </c>
      <c r="J16" s="12">
        <v>0</v>
      </c>
      <c r="K16" s="13">
        <v>0</v>
      </c>
      <c r="L16" s="13">
        <v>8</v>
      </c>
      <c r="M16" s="13">
        <v>0</v>
      </c>
      <c r="N16" s="13">
        <v>0</v>
      </c>
      <c r="O16" s="13">
        <v>11</v>
      </c>
      <c r="P16" s="13">
        <v>7</v>
      </c>
      <c r="Q16" s="11">
        <v>10</v>
      </c>
      <c r="R16" s="11">
        <v>5</v>
      </c>
      <c r="S16" s="11">
        <v>0</v>
      </c>
      <c r="T16" s="11">
        <v>5</v>
      </c>
      <c r="U16" s="11">
        <v>8</v>
      </c>
      <c r="V16" s="11">
        <v>0</v>
      </c>
      <c r="W16" s="11">
        <v>0</v>
      </c>
      <c r="X16" s="11">
        <v>8</v>
      </c>
      <c r="Y16" s="11">
        <v>1.5</v>
      </c>
      <c r="Z16" s="11">
        <v>1.5</v>
      </c>
    </row>
    <row r="17" spans="1:27" ht="15.75" thickBot="1" x14ac:dyDescent="0.3">
      <c r="A17" s="8">
        <v>45778</v>
      </c>
      <c r="B17" s="9">
        <v>1</v>
      </c>
      <c r="C17" s="9">
        <v>3</v>
      </c>
      <c r="D17" s="10">
        <v>1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0</v>
      </c>
      <c r="O17" s="13">
        <v>6</v>
      </c>
      <c r="P17" s="13">
        <v>10</v>
      </c>
      <c r="Q17" s="11">
        <v>10</v>
      </c>
      <c r="R17" s="11">
        <v>4</v>
      </c>
      <c r="S17" s="11">
        <v>1</v>
      </c>
      <c r="T17" s="11">
        <v>5</v>
      </c>
      <c r="U17" s="11">
        <v>2</v>
      </c>
      <c r="V17" s="11">
        <v>0</v>
      </c>
      <c r="W17" s="11">
        <v>0</v>
      </c>
      <c r="X17" s="11">
        <v>2</v>
      </c>
      <c r="Y17" s="11">
        <v>2</v>
      </c>
      <c r="Z17" s="11">
        <v>2</v>
      </c>
    </row>
    <row r="18" spans="1:27" ht="15.75" thickBot="1" x14ac:dyDescent="0.3">
      <c r="A18" s="8">
        <v>45809</v>
      </c>
      <c r="B18" s="9">
        <v>1</v>
      </c>
      <c r="C18" s="9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4</v>
      </c>
      <c r="P18" s="13">
        <v>2</v>
      </c>
      <c r="Q18" s="11">
        <v>1</v>
      </c>
      <c r="R18" s="11">
        <v>1</v>
      </c>
      <c r="S18" s="11">
        <v>0</v>
      </c>
      <c r="T18" s="11">
        <v>0</v>
      </c>
      <c r="U18" s="11">
        <v>2</v>
      </c>
      <c r="V18" s="11">
        <v>0</v>
      </c>
      <c r="W18" s="11">
        <v>0</v>
      </c>
      <c r="X18" s="11">
        <v>2</v>
      </c>
      <c r="Y18" s="11">
        <v>0</v>
      </c>
      <c r="Z18" s="11">
        <v>1</v>
      </c>
    </row>
    <row r="19" spans="1:27" ht="15.75" thickBot="1" x14ac:dyDescent="0.3">
      <c r="A19" s="8">
        <v>45839</v>
      </c>
      <c r="B19" s="9">
        <v>0</v>
      </c>
      <c r="C19" s="9">
        <v>1</v>
      </c>
      <c r="D19" s="12">
        <v>0</v>
      </c>
      <c r="E19" s="14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4" t="s">
        <v>140</v>
      </c>
    </row>
    <row r="20" spans="1:27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7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7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7" ht="15.75" thickBot="1" x14ac:dyDescent="0.3">
      <c r="B23" s="21">
        <f t="shared" ref="B23:N23" si="0">SUM(B8:B19)</f>
        <v>8.3000000000000007</v>
      </c>
      <c r="C23" s="21">
        <f t="shared" si="0"/>
        <v>27.8</v>
      </c>
      <c r="D23" s="21">
        <f t="shared" si="0"/>
        <v>9</v>
      </c>
      <c r="E23" s="21">
        <f t="shared" si="0"/>
        <v>1</v>
      </c>
      <c r="F23" s="21">
        <f t="shared" si="0"/>
        <v>8</v>
      </c>
      <c r="G23" s="21">
        <f t="shared" si="0"/>
        <v>7</v>
      </c>
      <c r="H23" s="21">
        <f t="shared" si="0"/>
        <v>7</v>
      </c>
      <c r="I23" s="21">
        <f t="shared" si="0"/>
        <v>0</v>
      </c>
      <c r="J23" s="21">
        <f t="shared" si="0"/>
        <v>8</v>
      </c>
      <c r="K23" s="21">
        <f t="shared" si="0"/>
        <v>0</v>
      </c>
      <c r="L23" s="21">
        <f t="shared" si="0"/>
        <v>8</v>
      </c>
      <c r="M23" s="21">
        <f t="shared" si="0"/>
        <v>0</v>
      </c>
      <c r="N23" s="21">
        <f t="shared" si="0"/>
        <v>0</v>
      </c>
      <c r="O23" s="21"/>
      <c r="P23" s="21">
        <f t="shared" ref="P23:Z23" si="1">SUM(P8:P19)</f>
        <v>30</v>
      </c>
      <c r="Q23" s="21">
        <f t="shared" si="1"/>
        <v>45</v>
      </c>
      <c r="R23" s="21">
        <f t="shared" si="1"/>
        <v>23</v>
      </c>
      <c r="S23" s="21">
        <f t="shared" si="1"/>
        <v>3</v>
      </c>
      <c r="T23" s="21">
        <f t="shared" si="1"/>
        <v>18</v>
      </c>
      <c r="U23" s="21">
        <f t="shared" si="1"/>
        <v>12</v>
      </c>
      <c r="V23" s="21">
        <f t="shared" si="1"/>
        <v>0</v>
      </c>
      <c r="W23" s="21">
        <f t="shared" si="1"/>
        <v>0</v>
      </c>
      <c r="X23" s="21">
        <f t="shared" si="1"/>
        <v>12</v>
      </c>
      <c r="Y23" s="21">
        <f t="shared" si="1"/>
        <v>6.5</v>
      </c>
      <c r="Z23" s="21">
        <f t="shared" si="1"/>
        <v>12.5</v>
      </c>
    </row>
    <row r="24" spans="1:27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7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7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9</v>
      </c>
    </row>
    <row r="27" spans="1:27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1</v>
      </c>
      <c r="R27" s="22"/>
      <c r="S27" s="22"/>
      <c r="T27" s="22"/>
    </row>
    <row r="28" spans="1:27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7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8</v>
      </c>
    </row>
    <row r="30" spans="1:27" ht="15.75" thickBot="1" x14ac:dyDescent="0.3">
      <c r="M30" s="164" t="s">
        <v>42</v>
      </c>
      <c r="N30" s="165"/>
      <c r="O30" s="165"/>
      <c r="P30" s="166"/>
      <c r="Q30" s="17">
        <v>14</v>
      </c>
    </row>
    <row r="31" spans="1:27" ht="15.75" thickBot="1" x14ac:dyDescent="0.3">
      <c r="M31" s="164" t="s">
        <v>43</v>
      </c>
      <c r="N31" s="165"/>
      <c r="O31" s="165"/>
      <c r="P31" s="166"/>
      <c r="Q31" s="23">
        <v>8</v>
      </c>
    </row>
  </sheetData>
  <mergeCells count="32">
    <mergeCell ref="Y6:Y7"/>
    <mergeCell ref="Z6:Z7"/>
    <mergeCell ref="M30:P30"/>
    <mergeCell ref="A27:D27"/>
    <mergeCell ref="E27:I29"/>
    <mergeCell ref="J27:K29"/>
    <mergeCell ref="M27:P28"/>
    <mergeCell ref="Q27:Q28"/>
    <mergeCell ref="A28:D28"/>
    <mergeCell ref="A29:D29"/>
    <mergeCell ref="M29:P29"/>
    <mergeCell ref="E25:I25"/>
    <mergeCell ref="J25:K25"/>
    <mergeCell ref="A26:D26"/>
    <mergeCell ref="Q6:T6"/>
    <mergeCell ref="U6:X6"/>
    <mergeCell ref="E26:I26"/>
    <mergeCell ref="J26:K26"/>
    <mergeCell ref="M26:P26"/>
    <mergeCell ref="M31:P31"/>
    <mergeCell ref="A1:Z4"/>
    <mergeCell ref="A5:Z5"/>
    <mergeCell ref="A6:A7"/>
    <mergeCell ref="B6:B7"/>
    <mergeCell ref="D6:F6"/>
    <mergeCell ref="G6:H6"/>
    <mergeCell ref="I6:J6"/>
    <mergeCell ref="K6:N6"/>
    <mergeCell ref="O6:O7"/>
    <mergeCell ref="P6:P7"/>
    <mergeCell ref="A24:P24"/>
    <mergeCell ref="A25:D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105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7</v>
      </c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146"/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2</v>
      </c>
      <c r="Q8" s="10">
        <v>0</v>
      </c>
      <c r="R8" s="10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2</v>
      </c>
      <c r="Z8" s="11">
        <v>1.5</v>
      </c>
    </row>
    <row r="9" spans="1:26" ht="15.75" thickBot="1" x14ac:dyDescent="0.3">
      <c r="A9" s="8">
        <v>45536</v>
      </c>
      <c r="B9" s="9">
        <v>0</v>
      </c>
      <c r="C9" s="9">
        <v>0</v>
      </c>
      <c r="D9" s="10">
        <v>0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2">
        <v>0</v>
      </c>
      <c r="K9" s="13">
        <v>0</v>
      </c>
      <c r="L9" s="13">
        <v>0</v>
      </c>
      <c r="M9" s="13">
        <v>0</v>
      </c>
      <c r="N9" s="13">
        <v>0</v>
      </c>
      <c r="O9" s="13">
        <v>2</v>
      </c>
      <c r="P9" s="13">
        <v>6</v>
      </c>
      <c r="Q9" s="11">
        <v>6</v>
      </c>
      <c r="R9" s="11">
        <v>5</v>
      </c>
      <c r="S9" s="11">
        <v>0</v>
      </c>
      <c r="T9" s="11">
        <v>1</v>
      </c>
      <c r="U9" s="11">
        <v>2</v>
      </c>
      <c r="V9" s="11">
        <v>0</v>
      </c>
      <c r="W9" s="11">
        <v>0</v>
      </c>
      <c r="X9" s="11">
        <v>2</v>
      </c>
      <c r="Y9" s="11">
        <v>2</v>
      </c>
      <c r="Z9" s="11">
        <v>0</v>
      </c>
    </row>
    <row r="10" spans="1:26" ht="15.75" thickBot="1" x14ac:dyDescent="0.3">
      <c r="A10" s="8">
        <v>45566</v>
      </c>
      <c r="B10" s="9">
        <v>0</v>
      </c>
      <c r="C10" s="9">
        <v>0</v>
      </c>
      <c r="D10" s="10">
        <v>0</v>
      </c>
      <c r="E10" s="10">
        <v>0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4</v>
      </c>
      <c r="P10" s="13">
        <v>12</v>
      </c>
      <c r="Q10" s="11">
        <v>6</v>
      </c>
      <c r="R10" s="11">
        <v>2</v>
      </c>
      <c r="S10" s="11">
        <v>1</v>
      </c>
      <c r="T10" s="11">
        <v>3</v>
      </c>
      <c r="U10" s="11">
        <v>3</v>
      </c>
      <c r="V10" s="11">
        <v>0</v>
      </c>
      <c r="W10" s="11">
        <v>0</v>
      </c>
      <c r="X10" s="11">
        <v>3</v>
      </c>
      <c r="Y10" s="11">
        <v>2</v>
      </c>
      <c r="Z10" s="11">
        <v>0.5</v>
      </c>
    </row>
    <row r="11" spans="1:26" ht="15.75" thickBot="1" x14ac:dyDescent="0.3">
      <c r="A11" s="8">
        <v>45597</v>
      </c>
      <c r="B11" s="9">
        <v>1</v>
      </c>
      <c r="C11" s="9">
        <v>2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2">
        <v>0</v>
      </c>
      <c r="K11" s="13">
        <v>1</v>
      </c>
      <c r="L11" s="13">
        <v>0</v>
      </c>
      <c r="M11" s="13">
        <v>0</v>
      </c>
      <c r="N11" s="13">
        <v>0</v>
      </c>
      <c r="O11" s="13">
        <v>8</v>
      </c>
      <c r="P11" s="13">
        <v>23</v>
      </c>
      <c r="Q11" s="11">
        <v>6</v>
      </c>
      <c r="R11" s="11">
        <v>5</v>
      </c>
      <c r="S11" s="11">
        <v>0</v>
      </c>
      <c r="T11" s="11">
        <v>1</v>
      </c>
      <c r="U11" s="11">
        <v>4</v>
      </c>
      <c r="V11" s="11">
        <v>0</v>
      </c>
      <c r="W11" s="11">
        <v>0</v>
      </c>
      <c r="X11" s="11">
        <v>4</v>
      </c>
      <c r="Y11" s="11">
        <v>1</v>
      </c>
      <c r="Z11" s="11">
        <v>1</v>
      </c>
    </row>
    <row r="12" spans="1:26" ht="15.75" thickBot="1" x14ac:dyDescent="0.3">
      <c r="A12" s="8">
        <v>45627</v>
      </c>
      <c r="B12" s="9">
        <v>1</v>
      </c>
      <c r="C12" s="9">
        <v>5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4</v>
      </c>
      <c r="K12" s="13">
        <v>2</v>
      </c>
      <c r="L12" s="13">
        <v>0</v>
      </c>
      <c r="M12" s="13">
        <v>0</v>
      </c>
      <c r="N12" s="13">
        <v>1</v>
      </c>
      <c r="O12" s="13">
        <v>11</v>
      </c>
      <c r="P12" s="13">
        <v>17</v>
      </c>
      <c r="Q12" s="11">
        <v>11</v>
      </c>
      <c r="R12" s="11">
        <v>6</v>
      </c>
      <c r="S12" s="11">
        <v>4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2</v>
      </c>
      <c r="Z12" s="11">
        <v>0</v>
      </c>
    </row>
    <row r="13" spans="1:26" ht="15.75" thickBot="1" x14ac:dyDescent="0.3">
      <c r="A13" s="8">
        <v>45658</v>
      </c>
      <c r="B13" s="9">
        <v>0</v>
      </c>
      <c r="C13" s="9">
        <v>2.5</v>
      </c>
      <c r="D13" s="10">
        <v>1</v>
      </c>
      <c r="E13" s="10">
        <v>0</v>
      </c>
      <c r="F13" s="10">
        <v>1</v>
      </c>
      <c r="G13" s="10">
        <v>0</v>
      </c>
      <c r="H13" s="10">
        <v>3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8</v>
      </c>
      <c r="P13" s="13">
        <v>19</v>
      </c>
      <c r="Q13" s="11">
        <v>20</v>
      </c>
      <c r="R13" s="11">
        <v>19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1.5</v>
      </c>
      <c r="Z13" s="11">
        <v>2</v>
      </c>
    </row>
    <row r="14" spans="1:26" ht="15.75" thickBot="1" x14ac:dyDescent="0.3">
      <c r="A14" s="8">
        <v>45689</v>
      </c>
      <c r="B14" s="9">
        <v>0</v>
      </c>
      <c r="C14" s="9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24</v>
      </c>
      <c r="P14" s="13">
        <v>20</v>
      </c>
      <c r="Q14" s="11">
        <v>9</v>
      </c>
      <c r="R14" s="11">
        <v>9</v>
      </c>
      <c r="S14" s="11">
        <v>0</v>
      </c>
      <c r="T14" s="11">
        <v>0</v>
      </c>
      <c r="U14" s="11">
        <v>9</v>
      </c>
      <c r="V14" s="11">
        <v>0</v>
      </c>
      <c r="W14" s="11">
        <v>0</v>
      </c>
      <c r="X14" s="11">
        <v>9</v>
      </c>
      <c r="Y14" s="11">
        <v>2</v>
      </c>
      <c r="Z14" s="11">
        <v>0</v>
      </c>
    </row>
    <row r="15" spans="1:26" ht="15.75" thickBot="1" x14ac:dyDescent="0.3">
      <c r="A15" s="8">
        <v>45717</v>
      </c>
      <c r="B15" s="9">
        <v>0</v>
      </c>
      <c r="C15" s="9">
        <v>0.5</v>
      </c>
      <c r="D15" s="10">
        <v>0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20</v>
      </c>
      <c r="P15" s="13">
        <v>10</v>
      </c>
      <c r="Q15" s="11">
        <v>21</v>
      </c>
      <c r="R15" s="11">
        <v>21</v>
      </c>
      <c r="S15" s="11">
        <v>0</v>
      </c>
      <c r="T15" s="11">
        <v>4</v>
      </c>
      <c r="U15" s="11">
        <v>1</v>
      </c>
      <c r="V15" s="11">
        <v>0</v>
      </c>
      <c r="W15" s="11">
        <v>0</v>
      </c>
      <c r="X15" s="11">
        <v>1</v>
      </c>
      <c r="Y15" s="11">
        <v>2</v>
      </c>
      <c r="Z15" s="11">
        <v>0.5</v>
      </c>
    </row>
    <row r="16" spans="1:26" ht="15.75" thickBot="1" x14ac:dyDescent="0.3">
      <c r="A16" s="8">
        <v>45748</v>
      </c>
      <c r="B16" s="9">
        <v>0</v>
      </c>
      <c r="C16" s="9">
        <v>5.5</v>
      </c>
      <c r="D16" s="10">
        <v>1</v>
      </c>
      <c r="E16" s="10">
        <v>0</v>
      </c>
      <c r="F16" s="10">
        <v>5</v>
      </c>
      <c r="G16" s="10">
        <v>0</v>
      </c>
      <c r="H16" s="10">
        <v>6</v>
      </c>
      <c r="I16" s="10">
        <v>0</v>
      </c>
      <c r="J16" s="12">
        <v>0</v>
      </c>
      <c r="K16" s="13">
        <v>0</v>
      </c>
      <c r="L16" s="13">
        <v>3</v>
      </c>
      <c r="M16" s="13">
        <v>0</v>
      </c>
      <c r="N16" s="13">
        <v>3</v>
      </c>
      <c r="O16" s="13">
        <v>33</v>
      </c>
      <c r="P16" s="13">
        <v>6</v>
      </c>
      <c r="Q16" s="11">
        <v>16</v>
      </c>
      <c r="R16" s="11">
        <v>12</v>
      </c>
      <c r="S16" s="11">
        <v>0</v>
      </c>
      <c r="T16" s="11">
        <v>4</v>
      </c>
      <c r="U16" s="11">
        <v>9</v>
      </c>
      <c r="V16" s="11">
        <v>0</v>
      </c>
      <c r="W16" s="11">
        <v>0</v>
      </c>
      <c r="X16" s="11">
        <v>4</v>
      </c>
      <c r="Y16" s="11">
        <v>2</v>
      </c>
      <c r="Z16" s="11">
        <v>2</v>
      </c>
    </row>
    <row r="17" spans="1:26" ht="15.75" thickBot="1" x14ac:dyDescent="0.3">
      <c r="A17" s="8">
        <v>45778</v>
      </c>
      <c r="B17" s="9">
        <v>0</v>
      </c>
      <c r="C17" s="9">
        <v>1.8</v>
      </c>
      <c r="D17" s="10">
        <v>0.5</v>
      </c>
      <c r="E17" s="10">
        <v>0</v>
      </c>
      <c r="F17" s="10">
        <v>2</v>
      </c>
      <c r="G17" s="10">
        <v>0</v>
      </c>
      <c r="H17" s="10">
        <v>1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9</v>
      </c>
      <c r="O17" s="13">
        <v>10</v>
      </c>
      <c r="P17" s="13">
        <v>24</v>
      </c>
      <c r="Q17" s="11">
        <v>0</v>
      </c>
      <c r="R17" s="11">
        <v>0</v>
      </c>
      <c r="S17" s="11">
        <v>0</v>
      </c>
      <c r="T17" s="11">
        <v>0</v>
      </c>
      <c r="U17" s="11">
        <v>5</v>
      </c>
      <c r="V17" s="11">
        <v>0</v>
      </c>
      <c r="W17" s="11">
        <v>0</v>
      </c>
      <c r="X17" s="11">
        <v>5</v>
      </c>
      <c r="Y17" s="11">
        <v>2</v>
      </c>
      <c r="Z17" s="11">
        <v>1</v>
      </c>
    </row>
    <row r="18" spans="1:26" ht="15.75" thickBot="1" x14ac:dyDescent="0.3">
      <c r="A18" s="8">
        <v>45809</v>
      </c>
      <c r="B18" s="9">
        <v>4</v>
      </c>
      <c r="C18" s="9">
        <v>4</v>
      </c>
      <c r="D18" s="10">
        <v>0</v>
      </c>
      <c r="E18" s="10">
        <v>3</v>
      </c>
      <c r="F18" s="10">
        <v>0</v>
      </c>
      <c r="G18" s="10">
        <v>0</v>
      </c>
      <c r="H18" s="10">
        <v>0</v>
      </c>
      <c r="I18" s="10">
        <v>1</v>
      </c>
      <c r="J18" s="1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6</v>
      </c>
      <c r="P18" s="13">
        <v>1</v>
      </c>
      <c r="Q18" s="11">
        <v>0</v>
      </c>
      <c r="R18" s="11">
        <v>1</v>
      </c>
      <c r="S18" s="11">
        <v>0</v>
      </c>
      <c r="T18" s="11">
        <v>0</v>
      </c>
      <c r="U18" s="11">
        <v>3</v>
      </c>
      <c r="V18" s="11">
        <v>0</v>
      </c>
      <c r="W18" s="11">
        <v>0</v>
      </c>
      <c r="X18" s="11">
        <v>3</v>
      </c>
      <c r="Y18" s="11">
        <v>2</v>
      </c>
      <c r="Z18" s="11">
        <v>1.5</v>
      </c>
    </row>
    <row r="19" spans="1:26" ht="15.75" thickBot="1" x14ac:dyDescent="0.3">
      <c r="A19" s="8">
        <v>45839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2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0</v>
      </c>
      <c r="W19" s="10">
        <v>0</v>
      </c>
      <c r="X19" s="10">
        <v>2</v>
      </c>
      <c r="Y19" s="10">
        <v>0</v>
      </c>
      <c r="Z19" s="12">
        <v>2.5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05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Z23" si="0">SUM(B8:B19)</f>
        <v>6</v>
      </c>
      <c r="C23" s="21">
        <f t="shared" si="0"/>
        <v>21.3</v>
      </c>
      <c r="D23" s="21">
        <f t="shared" si="0"/>
        <v>4.5</v>
      </c>
      <c r="E23" s="21">
        <f t="shared" si="0"/>
        <v>3</v>
      </c>
      <c r="F23" s="21">
        <f t="shared" si="0"/>
        <v>10</v>
      </c>
      <c r="G23" s="21">
        <f t="shared" si="0"/>
        <v>1</v>
      </c>
      <c r="H23" s="21">
        <f t="shared" si="0"/>
        <v>10</v>
      </c>
      <c r="I23" s="21">
        <f t="shared" si="0"/>
        <v>1</v>
      </c>
      <c r="J23" s="21">
        <f t="shared" si="0"/>
        <v>4</v>
      </c>
      <c r="K23" s="21">
        <f t="shared" si="0"/>
        <v>3</v>
      </c>
      <c r="L23" s="21">
        <f t="shared" si="0"/>
        <v>3</v>
      </c>
      <c r="M23" s="21">
        <f t="shared" si="0"/>
        <v>0</v>
      </c>
      <c r="N23" s="21">
        <f t="shared" si="0"/>
        <v>13</v>
      </c>
      <c r="O23" s="21">
        <f t="shared" si="0"/>
        <v>129</v>
      </c>
      <c r="P23" s="21">
        <f t="shared" si="0"/>
        <v>141</v>
      </c>
      <c r="Q23" s="21">
        <f t="shared" si="0"/>
        <v>95</v>
      </c>
      <c r="R23" s="21">
        <f t="shared" si="0"/>
        <v>80</v>
      </c>
      <c r="S23" s="21">
        <f t="shared" si="0"/>
        <v>5</v>
      </c>
      <c r="T23" s="21">
        <f t="shared" si="0"/>
        <v>15</v>
      </c>
      <c r="U23" s="21">
        <f t="shared" si="0"/>
        <v>38</v>
      </c>
      <c r="V23" s="21">
        <f t="shared" si="0"/>
        <v>0</v>
      </c>
      <c r="W23" s="21">
        <f t="shared" si="0"/>
        <v>0</v>
      </c>
      <c r="X23" s="21">
        <f t="shared" si="0"/>
        <v>33</v>
      </c>
      <c r="Y23" s="21">
        <f t="shared" si="0"/>
        <v>20.5</v>
      </c>
      <c r="Z23" s="21">
        <f t="shared" si="0"/>
        <v>12.5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4.5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3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10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11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5</v>
      </c>
    </row>
  </sheetData>
  <mergeCells count="32">
    <mergeCell ref="M30:P30"/>
    <mergeCell ref="M31:P31"/>
    <mergeCell ref="A29:D29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1:Z4"/>
    <mergeCell ref="A5:Z5"/>
    <mergeCell ref="A6:A7"/>
    <mergeCell ref="B6:B7"/>
    <mergeCell ref="D6:F6"/>
    <mergeCell ref="G6:H6"/>
    <mergeCell ref="I6:J6"/>
    <mergeCell ref="K6:N6"/>
    <mergeCell ref="O6:O7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98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48</v>
      </c>
      <c r="Q6" s="150" t="s">
        <v>9</v>
      </c>
      <c r="R6" s="152"/>
      <c r="S6" s="152"/>
      <c r="T6" s="151"/>
      <c r="U6" s="150">
        <v>1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43" t="s">
        <v>25</v>
      </c>
      <c r="O7" s="80" t="s">
        <v>99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3</v>
      </c>
      <c r="D8" s="10">
        <v>4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1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1">
        <f t="shared" ref="Q8:Q18" si="0">SUM(R8+S8+T8)</f>
        <v>5</v>
      </c>
      <c r="R8" s="10">
        <v>4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f t="shared" ref="X8:X18" si="1">SUM(U8+V8+W8)</f>
        <v>0</v>
      </c>
      <c r="Y8" s="11">
        <v>1</v>
      </c>
      <c r="Z8" s="11">
        <v>1</v>
      </c>
    </row>
    <row r="9" spans="1:26" ht="15.75" thickBot="1" x14ac:dyDescent="0.3">
      <c r="A9" s="8">
        <v>45536</v>
      </c>
      <c r="B9" s="9">
        <v>5</v>
      </c>
      <c r="C9" s="9">
        <v>7.5</v>
      </c>
      <c r="D9" s="10">
        <v>3</v>
      </c>
      <c r="E9" s="10">
        <v>1</v>
      </c>
      <c r="F9" s="10">
        <v>2</v>
      </c>
      <c r="G9" s="11">
        <v>1</v>
      </c>
      <c r="H9" s="10">
        <v>0</v>
      </c>
      <c r="I9" s="10">
        <v>0</v>
      </c>
      <c r="J9" s="12">
        <v>2</v>
      </c>
      <c r="K9" s="13">
        <v>0</v>
      </c>
      <c r="L9" s="13">
        <v>0</v>
      </c>
      <c r="M9" s="13">
        <v>0</v>
      </c>
      <c r="N9" s="13">
        <v>0</v>
      </c>
      <c r="O9" s="13">
        <v>3</v>
      </c>
      <c r="P9" s="13">
        <v>3</v>
      </c>
      <c r="Q9" s="11">
        <f t="shared" si="0"/>
        <v>14</v>
      </c>
      <c r="R9" s="11">
        <v>3</v>
      </c>
      <c r="S9" s="11">
        <v>6</v>
      </c>
      <c r="T9" s="11">
        <v>5</v>
      </c>
      <c r="U9" s="11">
        <v>1</v>
      </c>
      <c r="V9" s="11">
        <v>0</v>
      </c>
      <c r="W9" s="11">
        <v>0</v>
      </c>
      <c r="X9" s="11">
        <f t="shared" si="1"/>
        <v>1</v>
      </c>
      <c r="Y9" s="11">
        <v>2</v>
      </c>
      <c r="Z9" s="11">
        <v>1</v>
      </c>
    </row>
    <row r="10" spans="1:26" ht="15.75" thickBot="1" x14ac:dyDescent="0.3">
      <c r="A10" s="8">
        <v>45566</v>
      </c>
      <c r="B10" s="9">
        <v>4</v>
      </c>
      <c r="C10" s="9">
        <v>7</v>
      </c>
      <c r="D10" s="10">
        <v>4</v>
      </c>
      <c r="E10" s="10">
        <v>0</v>
      </c>
      <c r="F10" s="10">
        <v>0</v>
      </c>
      <c r="G10" s="46">
        <v>6</v>
      </c>
      <c r="H10" s="10">
        <v>0</v>
      </c>
      <c r="I10" s="10">
        <v>0</v>
      </c>
      <c r="J10" s="12">
        <v>0</v>
      </c>
      <c r="K10" s="13">
        <v>0</v>
      </c>
      <c r="L10" s="13">
        <v>1</v>
      </c>
      <c r="M10" s="13">
        <v>0</v>
      </c>
      <c r="N10" s="13">
        <v>1</v>
      </c>
      <c r="O10" s="13">
        <v>5</v>
      </c>
      <c r="P10" s="13">
        <v>17</v>
      </c>
      <c r="Q10" s="11">
        <f t="shared" si="0"/>
        <v>17</v>
      </c>
      <c r="R10" s="11">
        <v>10</v>
      </c>
      <c r="S10" s="11">
        <v>2</v>
      </c>
      <c r="T10" s="11">
        <v>5</v>
      </c>
      <c r="U10" s="11">
        <v>5</v>
      </c>
      <c r="V10" s="11">
        <v>0</v>
      </c>
      <c r="W10" s="11">
        <v>0</v>
      </c>
      <c r="X10" s="11">
        <f t="shared" si="1"/>
        <v>5</v>
      </c>
      <c r="Y10" s="11">
        <v>0</v>
      </c>
      <c r="Z10" s="11">
        <v>0</v>
      </c>
    </row>
    <row r="11" spans="1:26" ht="15.75" thickBot="1" x14ac:dyDescent="0.3">
      <c r="A11" s="8">
        <v>45597</v>
      </c>
      <c r="B11" s="9">
        <v>3</v>
      </c>
      <c r="C11" s="9">
        <v>5.5</v>
      </c>
      <c r="D11" s="10">
        <v>5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2">
        <v>0</v>
      </c>
      <c r="K11" s="13">
        <v>0</v>
      </c>
      <c r="L11" s="13">
        <v>1</v>
      </c>
      <c r="M11" s="13">
        <v>0</v>
      </c>
      <c r="N11" s="13">
        <v>0</v>
      </c>
      <c r="O11" s="13">
        <v>4</v>
      </c>
      <c r="P11" s="13">
        <v>12</v>
      </c>
      <c r="Q11" s="11">
        <f t="shared" si="0"/>
        <v>20</v>
      </c>
      <c r="R11" s="11">
        <v>11</v>
      </c>
      <c r="S11" s="11">
        <v>1</v>
      </c>
      <c r="T11" s="11">
        <v>8</v>
      </c>
      <c r="U11" s="11">
        <v>4</v>
      </c>
      <c r="V11" s="11">
        <v>0</v>
      </c>
      <c r="W11" s="11">
        <v>0</v>
      </c>
      <c r="X11" s="11">
        <f t="shared" si="1"/>
        <v>4</v>
      </c>
      <c r="Y11" s="11">
        <v>2</v>
      </c>
      <c r="Z11" s="11">
        <v>0</v>
      </c>
    </row>
    <row r="12" spans="1:26" ht="15.75" thickBot="1" x14ac:dyDescent="0.3">
      <c r="A12" s="8">
        <v>45627</v>
      </c>
      <c r="B12" s="9">
        <v>5</v>
      </c>
      <c r="C12" s="9">
        <v>6</v>
      </c>
      <c r="D12" s="10">
        <v>4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2</v>
      </c>
      <c r="K12" s="13">
        <v>0</v>
      </c>
      <c r="L12" s="13">
        <v>0</v>
      </c>
      <c r="M12" s="13">
        <v>0</v>
      </c>
      <c r="N12" s="13">
        <v>0</v>
      </c>
      <c r="O12" s="13">
        <v>15</v>
      </c>
      <c r="P12" s="13">
        <v>42</v>
      </c>
      <c r="Q12" s="11">
        <f t="shared" si="0"/>
        <v>42</v>
      </c>
      <c r="R12" s="11">
        <v>25</v>
      </c>
      <c r="S12" s="11">
        <v>12</v>
      </c>
      <c r="T12" s="11">
        <v>5</v>
      </c>
      <c r="U12" s="11">
        <v>5</v>
      </c>
      <c r="V12" s="11">
        <v>0</v>
      </c>
      <c r="W12" s="11">
        <v>0</v>
      </c>
      <c r="X12" s="11">
        <f t="shared" si="1"/>
        <v>5</v>
      </c>
      <c r="Y12" s="11">
        <v>2</v>
      </c>
      <c r="Z12" s="11">
        <v>3</v>
      </c>
    </row>
    <row r="13" spans="1:26" ht="15.75" thickBot="1" x14ac:dyDescent="0.3">
      <c r="A13" s="8">
        <v>45658</v>
      </c>
      <c r="B13" s="9">
        <v>4</v>
      </c>
      <c r="C13" s="9">
        <v>3.5</v>
      </c>
      <c r="D13" s="10">
        <v>1</v>
      </c>
      <c r="E13" s="10">
        <v>0</v>
      </c>
      <c r="F13" s="10">
        <v>2</v>
      </c>
      <c r="G13" s="10">
        <v>3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9</v>
      </c>
      <c r="P13" s="13">
        <v>44</v>
      </c>
      <c r="Q13" s="11">
        <f t="shared" si="0"/>
        <v>36</v>
      </c>
      <c r="R13" s="11">
        <v>24</v>
      </c>
      <c r="S13" s="11">
        <v>4</v>
      </c>
      <c r="T13" s="11">
        <v>8</v>
      </c>
      <c r="U13" s="11">
        <v>0</v>
      </c>
      <c r="V13" s="11">
        <v>0</v>
      </c>
      <c r="W13" s="11">
        <v>0</v>
      </c>
      <c r="X13" s="11">
        <f t="shared" si="1"/>
        <v>0</v>
      </c>
      <c r="Y13" s="11">
        <v>1</v>
      </c>
      <c r="Z13" s="11">
        <v>1</v>
      </c>
    </row>
    <row r="14" spans="1:26" ht="15.75" thickBot="1" x14ac:dyDescent="0.3">
      <c r="A14" s="8">
        <v>45689</v>
      </c>
      <c r="B14" s="9">
        <v>2</v>
      </c>
      <c r="C14" s="9">
        <v>12</v>
      </c>
      <c r="D14" s="10">
        <v>8</v>
      </c>
      <c r="E14" s="10">
        <v>0</v>
      </c>
      <c r="F14" s="10">
        <v>2</v>
      </c>
      <c r="G14" s="10">
        <v>6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26</v>
      </c>
      <c r="P14" s="13">
        <v>36</v>
      </c>
      <c r="Q14" s="11">
        <f t="shared" si="0"/>
        <v>27</v>
      </c>
      <c r="R14" s="11">
        <v>13</v>
      </c>
      <c r="S14" s="11">
        <v>6</v>
      </c>
      <c r="T14" s="11">
        <v>8</v>
      </c>
      <c r="U14" s="11">
        <v>11</v>
      </c>
      <c r="V14" s="11">
        <v>0</v>
      </c>
      <c r="W14" s="11">
        <v>0</v>
      </c>
      <c r="X14" s="11">
        <f t="shared" si="1"/>
        <v>11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9">
        <v>4</v>
      </c>
      <c r="C15" s="9">
        <v>14</v>
      </c>
      <c r="D15" s="10">
        <v>11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2">
        <v>2</v>
      </c>
      <c r="K15" s="13">
        <v>0</v>
      </c>
      <c r="L15" s="13">
        <v>0</v>
      </c>
      <c r="M15" s="13">
        <v>0</v>
      </c>
      <c r="N15" s="13">
        <v>0</v>
      </c>
      <c r="O15" s="13">
        <v>23</v>
      </c>
      <c r="P15" s="13">
        <v>15</v>
      </c>
      <c r="Q15" s="11">
        <f t="shared" si="0"/>
        <v>25</v>
      </c>
      <c r="R15" s="11">
        <v>3</v>
      </c>
      <c r="S15" s="11">
        <v>1</v>
      </c>
      <c r="T15" s="11">
        <v>21</v>
      </c>
      <c r="U15" s="11">
        <v>1</v>
      </c>
      <c r="V15" s="11">
        <v>0</v>
      </c>
      <c r="W15" s="11">
        <v>0</v>
      </c>
      <c r="X15" s="11">
        <f t="shared" si="1"/>
        <v>1</v>
      </c>
      <c r="Y15" s="11">
        <v>1.5</v>
      </c>
      <c r="Z15" s="11">
        <v>1</v>
      </c>
    </row>
    <row r="16" spans="1:26" ht="15.75" thickBot="1" x14ac:dyDescent="0.3">
      <c r="A16" s="8">
        <v>45748</v>
      </c>
      <c r="B16" s="9">
        <v>6</v>
      </c>
      <c r="C16" s="9">
        <v>8.3000000000000007</v>
      </c>
      <c r="D16" s="10">
        <v>4</v>
      </c>
      <c r="E16" s="10">
        <v>0</v>
      </c>
      <c r="F16" s="10">
        <v>0</v>
      </c>
      <c r="G16" s="10">
        <v>0</v>
      </c>
      <c r="H16" s="10">
        <v>13</v>
      </c>
      <c r="I16" s="10">
        <v>0</v>
      </c>
      <c r="J16" s="12">
        <v>0</v>
      </c>
      <c r="K16" s="13">
        <v>0</v>
      </c>
      <c r="L16" s="13">
        <v>1</v>
      </c>
      <c r="M16" s="13">
        <v>0</v>
      </c>
      <c r="N16" s="13">
        <v>1</v>
      </c>
      <c r="O16" s="13">
        <v>57</v>
      </c>
      <c r="P16" s="13">
        <v>3</v>
      </c>
      <c r="Q16" s="11">
        <f t="shared" si="0"/>
        <v>14</v>
      </c>
      <c r="R16" s="11">
        <v>4</v>
      </c>
      <c r="S16" s="11">
        <v>2</v>
      </c>
      <c r="T16" s="11">
        <v>8</v>
      </c>
      <c r="U16" s="11">
        <v>10</v>
      </c>
      <c r="V16" s="11">
        <v>0</v>
      </c>
      <c r="W16" s="11">
        <v>0</v>
      </c>
      <c r="X16" s="11">
        <f t="shared" si="1"/>
        <v>10</v>
      </c>
      <c r="Y16" s="11">
        <v>2</v>
      </c>
      <c r="Z16" s="11">
        <v>1</v>
      </c>
    </row>
    <row r="17" spans="1:26" ht="15.75" thickBot="1" x14ac:dyDescent="0.3">
      <c r="A17" s="8">
        <v>45778</v>
      </c>
      <c r="B17" s="9">
        <v>8</v>
      </c>
      <c r="C17" s="9">
        <v>5.5</v>
      </c>
      <c r="D17" s="10">
        <v>4</v>
      </c>
      <c r="E17" s="10">
        <v>0</v>
      </c>
      <c r="F17" s="10">
        <v>0</v>
      </c>
      <c r="G17" s="10">
        <v>3</v>
      </c>
      <c r="H17" s="10">
        <v>0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18</v>
      </c>
      <c r="P17" s="13">
        <v>29</v>
      </c>
      <c r="Q17" s="11">
        <f t="shared" si="0"/>
        <v>3</v>
      </c>
      <c r="R17" s="11">
        <v>1</v>
      </c>
      <c r="S17" s="11">
        <v>0</v>
      </c>
      <c r="T17" s="11">
        <v>2</v>
      </c>
      <c r="U17" s="11">
        <v>11</v>
      </c>
      <c r="V17" s="11">
        <v>0</v>
      </c>
      <c r="W17" s="11">
        <v>0</v>
      </c>
      <c r="X17" s="11">
        <f t="shared" si="1"/>
        <v>11</v>
      </c>
      <c r="Y17" s="11">
        <v>2</v>
      </c>
      <c r="Z17" s="11">
        <v>1</v>
      </c>
    </row>
    <row r="18" spans="1:26" ht="15.75" thickBot="1" x14ac:dyDescent="0.3">
      <c r="A18" s="8">
        <v>45809</v>
      </c>
      <c r="B18" s="9">
        <v>6</v>
      </c>
      <c r="C18" s="9">
        <v>6</v>
      </c>
      <c r="D18" s="10">
        <v>4</v>
      </c>
      <c r="E18" s="10">
        <v>2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5</v>
      </c>
      <c r="P18" s="13">
        <v>1</v>
      </c>
      <c r="Q18" s="11">
        <f t="shared" si="0"/>
        <v>1</v>
      </c>
      <c r="R18" s="11">
        <v>0</v>
      </c>
      <c r="S18" s="11">
        <v>0</v>
      </c>
      <c r="T18" s="11">
        <v>1</v>
      </c>
      <c r="U18" s="11">
        <v>2</v>
      </c>
      <c r="V18" s="11">
        <v>0</v>
      </c>
      <c r="W18" s="11">
        <v>0</v>
      </c>
      <c r="X18" s="11">
        <f t="shared" si="1"/>
        <v>2</v>
      </c>
      <c r="Y18" s="11">
        <v>2</v>
      </c>
      <c r="Z18" s="11">
        <v>3</v>
      </c>
    </row>
    <row r="19" spans="1:26" ht="45.75" thickBot="1" x14ac:dyDescent="0.3">
      <c r="A19" s="8">
        <v>45839</v>
      </c>
      <c r="B19" s="9">
        <v>6</v>
      </c>
      <c r="C19" s="9">
        <v>0</v>
      </c>
      <c r="D19" s="12">
        <v>0</v>
      </c>
      <c r="E19" s="14">
        <v>0</v>
      </c>
      <c r="F19" s="15">
        <v>0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3</v>
      </c>
      <c r="P19" s="16">
        <v>4</v>
      </c>
      <c r="Q19" s="11">
        <v>0</v>
      </c>
      <c r="R19" s="11">
        <v>1</v>
      </c>
      <c r="S19" s="11">
        <v>0</v>
      </c>
      <c r="T19" s="11">
        <v>0</v>
      </c>
      <c r="U19" s="11">
        <v>1</v>
      </c>
      <c r="V19" s="11">
        <v>0</v>
      </c>
      <c r="W19" s="11">
        <v>0</v>
      </c>
      <c r="X19" s="11">
        <v>1</v>
      </c>
      <c r="Y19" s="11">
        <v>2</v>
      </c>
      <c r="Z19" s="106" t="s">
        <v>139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2">SUM(B8:B19)</f>
        <v>53</v>
      </c>
      <c r="C23" s="21">
        <f t="shared" si="2"/>
        <v>78.3</v>
      </c>
      <c r="D23" s="21">
        <f t="shared" si="2"/>
        <v>52</v>
      </c>
      <c r="E23" s="21">
        <f t="shared" si="2"/>
        <v>3</v>
      </c>
      <c r="F23" s="21">
        <f t="shared" si="2"/>
        <v>8</v>
      </c>
      <c r="G23" s="21">
        <f t="shared" si="2"/>
        <v>20</v>
      </c>
      <c r="H23" s="21">
        <f t="shared" si="2"/>
        <v>13</v>
      </c>
      <c r="I23" s="21">
        <f t="shared" si="2"/>
        <v>0</v>
      </c>
      <c r="J23" s="21">
        <f t="shared" si="2"/>
        <v>7</v>
      </c>
      <c r="K23" s="21">
        <f t="shared" si="2"/>
        <v>0</v>
      </c>
      <c r="L23" s="21">
        <f t="shared" si="2"/>
        <v>3</v>
      </c>
      <c r="M23" s="21">
        <f t="shared" si="2"/>
        <v>0</v>
      </c>
      <c r="N23" s="21">
        <f t="shared" si="2"/>
        <v>2</v>
      </c>
      <c r="O23" s="21">
        <f>SUM(O8+O9+O10+O11+O12+O13+O14+O15+O16+O17+O18)</f>
        <v>165</v>
      </c>
      <c r="P23" s="21">
        <f t="shared" ref="P23:Z23" si="3">SUM(P8:P19)</f>
        <v>206</v>
      </c>
      <c r="Q23" s="21">
        <f t="shared" si="3"/>
        <v>204</v>
      </c>
      <c r="R23" s="21">
        <f t="shared" si="3"/>
        <v>99</v>
      </c>
      <c r="S23" s="21">
        <f t="shared" si="3"/>
        <v>34</v>
      </c>
      <c r="T23" s="21">
        <f t="shared" si="3"/>
        <v>72</v>
      </c>
      <c r="U23" s="21">
        <f t="shared" si="3"/>
        <v>51</v>
      </c>
      <c r="V23" s="21">
        <f t="shared" si="3"/>
        <v>0</v>
      </c>
      <c r="W23" s="21">
        <f t="shared" si="3"/>
        <v>0</v>
      </c>
      <c r="X23" s="21">
        <f t="shared" si="3"/>
        <v>51</v>
      </c>
      <c r="Y23" s="21">
        <f t="shared" si="3"/>
        <v>17.5</v>
      </c>
      <c r="Z23" s="21">
        <f t="shared" si="3"/>
        <v>12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52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3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8</v>
      </c>
    </row>
    <row r="30" spans="1:26" x14ac:dyDescent="0.25">
      <c r="M30" s="202" t="s">
        <v>145</v>
      </c>
      <c r="N30" s="203"/>
      <c r="O30" s="203"/>
      <c r="P30" s="204"/>
      <c r="Q30" s="49">
        <v>33</v>
      </c>
    </row>
    <row r="31" spans="1:26" x14ac:dyDescent="0.25">
      <c r="M31" s="199" t="s">
        <v>43</v>
      </c>
      <c r="N31" s="200"/>
      <c r="O31" s="200"/>
      <c r="P31" s="201"/>
      <c r="Q31" s="50">
        <v>7</v>
      </c>
    </row>
  </sheetData>
  <mergeCells count="31">
    <mergeCell ref="Q27:Q28"/>
    <mergeCell ref="A28:D28"/>
    <mergeCell ref="A29:D29"/>
    <mergeCell ref="M29:P29"/>
    <mergeCell ref="M30:P30"/>
    <mergeCell ref="M31:P31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97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43" t="s">
        <v>25</v>
      </c>
      <c r="O7" s="45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82">
        <v>0</v>
      </c>
    </row>
    <row r="9" spans="1:26" ht="15.75" thickBot="1" x14ac:dyDescent="0.3">
      <c r="A9" s="8">
        <v>45536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82">
        <v>0</v>
      </c>
    </row>
    <row r="10" spans="1:26" ht="15.75" thickBot="1" x14ac:dyDescent="0.3">
      <c r="A10" s="8">
        <v>45566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82">
        <v>0</v>
      </c>
    </row>
    <row r="11" spans="1:26" ht="15.75" thickBot="1" x14ac:dyDescent="0.3">
      <c r="A11" s="8">
        <v>45597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82">
        <v>0</v>
      </c>
    </row>
    <row r="12" spans="1:26" ht="15.75" thickBot="1" x14ac:dyDescent="0.3">
      <c r="A12" s="8">
        <v>45627</v>
      </c>
      <c r="B12" s="9">
        <v>0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1">
        <v>5</v>
      </c>
      <c r="R12" s="11">
        <v>3</v>
      </c>
      <c r="S12" s="11">
        <v>1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</row>
    <row r="13" spans="1:26" ht="15.75" thickBot="1" x14ac:dyDescent="0.3">
      <c r="A13" s="8">
        <v>45658</v>
      </c>
      <c r="B13" s="9">
        <v>0</v>
      </c>
      <c r="C13" s="9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3</v>
      </c>
      <c r="P13" s="13">
        <v>13</v>
      </c>
      <c r="Q13" s="11">
        <v>14</v>
      </c>
      <c r="R13" s="11">
        <v>12</v>
      </c>
      <c r="S13" s="11">
        <v>2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1.5</v>
      </c>
      <c r="Z13" s="11">
        <v>0</v>
      </c>
    </row>
    <row r="14" spans="1:26" ht="15.75" thickBot="1" x14ac:dyDescent="0.3">
      <c r="A14" s="8">
        <v>45689</v>
      </c>
      <c r="B14" s="9">
        <v>1</v>
      </c>
      <c r="C14" s="9">
        <v>2.5</v>
      </c>
      <c r="D14" s="10">
        <v>2</v>
      </c>
      <c r="E14" s="10">
        <v>0</v>
      </c>
      <c r="F14" s="10">
        <v>0</v>
      </c>
      <c r="G14" s="10">
        <v>1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12</v>
      </c>
      <c r="P14" s="13">
        <v>13</v>
      </c>
      <c r="Q14" s="11">
        <v>14</v>
      </c>
      <c r="R14" s="11">
        <v>12</v>
      </c>
      <c r="S14" s="11">
        <v>1</v>
      </c>
      <c r="T14" s="11">
        <v>1</v>
      </c>
      <c r="U14" s="11">
        <v>2</v>
      </c>
      <c r="V14" s="11">
        <v>0</v>
      </c>
      <c r="W14" s="11">
        <v>0</v>
      </c>
      <c r="X14" s="11">
        <v>0</v>
      </c>
      <c r="Y14" s="11">
        <v>1.5</v>
      </c>
      <c r="Z14" s="11">
        <v>0.5</v>
      </c>
    </row>
    <row r="15" spans="1:26" ht="15.75" thickBot="1" x14ac:dyDescent="0.3">
      <c r="A15" s="8">
        <v>45717</v>
      </c>
      <c r="B15" s="9">
        <v>0</v>
      </c>
      <c r="C15" s="9">
        <v>3.5</v>
      </c>
      <c r="D15" s="10">
        <v>1.5</v>
      </c>
      <c r="E15" s="10">
        <v>0</v>
      </c>
      <c r="F15" s="10">
        <v>0</v>
      </c>
      <c r="G15" s="10">
        <v>4</v>
      </c>
      <c r="H15" s="10">
        <v>0</v>
      </c>
      <c r="I15" s="10">
        <v>0</v>
      </c>
      <c r="J15" s="12">
        <v>0</v>
      </c>
      <c r="K15" s="13">
        <v>2</v>
      </c>
      <c r="L15" s="13">
        <v>2</v>
      </c>
      <c r="M15" s="13">
        <v>2</v>
      </c>
      <c r="N15" s="13">
        <v>2</v>
      </c>
      <c r="O15" s="13">
        <v>17</v>
      </c>
      <c r="P15" s="13">
        <v>8</v>
      </c>
      <c r="Q15" s="11">
        <v>15</v>
      </c>
      <c r="R15" s="11">
        <v>7</v>
      </c>
      <c r="S15" s="11">
        <v>0</v>
      </c>
      <c r="T15" s="11">
        <v>9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9">
        <v>1</v>
      </c>
      <c r="C16" s="9">
        <v>5.0999999999999996</v>
      </c>
      <c r="D16" s="10">
        <v>1</v>
      </c>
      <c r="E16" s="10">
        <v>0</v>
      </c>
      <c r="F16" s="10">
        <v>3</v>
      </c>
      <c r="G16" s="10">
        <v>0</v>
      </c>
      <c r="H16" s="10">
        <v>7</v>
      </c>
      <c r="I16" s="10">
        <v>0</v>
      </c>
      <c r="J16" s="12">
        <v>0</v>
      </c>
      <c r="K16" s="13">
        <v>1</v>
      </c>
      <c r="L16" s="13">
        <v>8</v>
      </c>
      <c r="M16" s="13">
        <v>1</v>
      </c>
      <c r="N16" s="13">
        <v>8</v>
      </c>
      <c r="O16" s="13">
        <v>42</v>
      </c>
      <c r="P16" s="13">
        <v>7</v>
      </c>
      <c r="Q16" s="11">
        <v>42</v>
      </c>
      <c r="R16" s="11">
        <v>0</v>
      </c>
      <c r="S16" s="11">
        <v>0</v>
      </c>
      <c r="T16" s="11">
        <v>0</v>
      </c>
      <c r="U16" s="11">
        <v>12</v>
      </c>
      <c r="V16" s="11">
        <v>0</v>
      </c>
      <c r="W16" s="11">
        <v>0</v>
      </c>
      <c r="X16" s="11">
        <v>0</v>
      </c>
      <c r="Y16" s="11">
        <v>1.5</v>
      </c>
      <c r="Z16" s="11">
        <v>1.5</v>
      </c>
    </row>
    <row r="17" spans="1:26" ht="15.75" thickBot="1" x14ac:dyDescent="0.3">
      <c r="A17" s="8">
        <v>45778</v>
      </c>
      <c r="B17" s="9">
        <v>1</v>
      </c>
      <c r="C17" s="9">
        <v>4.5999999999999996</v>
      </c>
      <c r="D17" s="10">
        <v>2</v>
      </c>
      <c r="E17" s="10">
        <v>0</v>
      </c>
      <c r="F17" s="10">
        <v>2</v>
      </c>
      <c r="G17" s="10">
        <v>2</v>
      </c>
      <c r="H17" s="10">
        <v>2</v>
      </c>
      <c r="I17" s="10">
        <v>0</v>
      </c>
      <c r="J17" s="12">
        <v>0</v>
      </c>
      <c r="K17" s="13">
        <v>2</v>
      </c>
      <c r="L17" s="13">
        <v>2</v>
      </c>
      <c r="M17" s="13">
        <v>3</v>
      </c>
      <c r="N17" s="13">
        <v>3</v>
      </c>
      <c r="O17" s="13">
        <v>11</v>
      </c>
      <c r="P17" s="13">
        <v>13</v>
      </c>
      <c r="Q17" s="11">
        <v>6</v>
      </c>
      <c r="R17" s="11">
        <v>6</v>
      </c>
      <c r="S17" s="11">
        <v>0</v>
      </c>
      <c r="T17" s="11">
        <v>0</v>
      </c>
      <c r="U17" s="11">
        <v>8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</row>
    <row r="18" spans="1:26" ht="15.75" thickBot="1" x14ac:dyDescent="0.3">
      <c r="A18" s="8">
        <v>45809</v>
      </c>
      <c r="B18" s="9">
        <v>3</v>
      </c>
      <c r="C18" s="9">
        <v>10.5</v>
      </c>
      <c r="D18" s="10">
        <v>1</v>
      </c>
      <c r="E18" s="10">
        <v>1</v>
      </c>
      <c r="F18" s="10">
        <v>3</v>
      </c>
      <c r="G18" s="10">
        <v>0</v>
      </c>
      <c r="H18" s="10">
        <v>0</v>
      </c>
      <c r="I18" s="10">
        <v>6</v>
      </c>
      <c r="J18" s="12">
        <v>1</v>
      </c>
      <c r="K18" s="13">
        <v>3</v>
      </c>
      <c r="L18" s="13">
        <v>3</v>
      </c>
      <c r="M18" s="13">
        <v>3</v>
      </c>
      <c r="N18" s="13">
        <v>3</v>
      </c>
      <c r="O18" s="13">
        <v>8</v>
      </c>
      <c r="P18" s="13">
        <v>3</v>
      </c>
      <c r="Q18" s="11">
        <v>8</v>
      </c>
      <c r="R18" s="11">
        <v>4</v>
      </c>
      <c r="S18" s="11">
        <v>2</v>
      </c>
      <c r="T18" s="11">
        <v>2</v>
      </c>
      <c r="U18" s="11">
        <v>4</v>
      </c>
      <c r="V18" s="11">
        <v>0</v>
      </c>
      <c r="W18" s="11">
        <v>0</v>
      </c>
      <c r="X18" s="11">
        <v>0</v>
      </c>
      <c r="Y18" s="11">
        <v>2</v>
      </c>
      <c r="Z18" s="11">
        <v>2</v>
      </c>
    </row>
    <row r="19" spans="1:26" ht="15.75" thickBot="1" x14ac:dyDescent="0.3">
      <c r="A19" s="8">
        <v>45839</v>
      </c>
      <c r="B19" s="9">
        <v>4</v>
      </c>
      <c r="C19" s="9">
        <v>4.25</v>
      </c>
      <c r="D19" s="12">
        <v>2</v>
      </c>
      <c r="E19" s="14">
        <v>2</v>
      </c>
      <c r="F19" s="15">
        <v>0.25</v>
      </c>
      <c r="G19" s="10">
        <v>1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10</v>
      </c>
      <c r="P19" s="16">
        <v>7</v>
      </c>
      <c r="Q19" s="11">
        <v>6</v>
      </c>
      <c r="R19" s="11">
        <v>2</v>
      </c>
      <c r="S19" s="11">
        <v>1</v>
      </c>
      <c r="T19" s="11">
        <v>3</v>
      </c>
      <c r="U19" s="11">
        <v>9</v>
      </c>
      <c r="V19" s="11">
        <v>0</v>
      </c>
      <c r="W19" s="11">
        <v>0</v>
      </c>
      <c r="X19" s="11">
        <v>9</v>
      </c>
      <c r="Y19" s="11">
        <v>1</v>
      </c>
      <c r="Z19" s="11">
        <v>0.5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10</v>
      </c>
      <c r="C23" s="21">
        <f t="shared" si="0"/>
        <v>30.45</v>
      </c>
      <c r="D23" s="21">
        <f t="shared" si="0"/>
        <v>9.5</v>
      </c>
      <c r="E23" s="21">
        <f t="shared" si="0"/>
        <v>3</v>
      </c>
      <c r="F23" s="21">
        <f t="shared" si="0"/>
        <v>8.25</v>
      </c>
      <c r="G23" s="21">
        <f t="shared" si="0"/>
        <v>8</v>
      </c>
      <c r="H23" s="21">
        <f t="shared" si="0"/>
        <v>9</v>
      </c>
      <c r="I23" s="21">
        <f t="shared" si="0"/>
        <v>6</v>
      </c>
      <c r="J23" s="21">
        <f t="shared" si="0"/>
        <v>1</v>
      </c>
      <c r="K23" s="21">
        <f t="shared" si="0"/>
        <v>8</v>
      </c>
      <c r="L23" s="21">
        <f t="shared" si="0"/>
        <v>15</v>
      </c>
      <c r="M23" s="21">
        <f t="shared" si="0"/>
        <v>9</v>
      </c>
      <c r="N23" s="21">
        <f t="shared" si="0"/>
        <v>16</v>
      </c>
      <c r="O23" s="21">
        <f>SUM(O12:O19)</f>
        <v>103</v>
      </c>
      <c r="P23" s="21">
        <f t="shared" ref="P23:Z23" si="1">SUM(P8:P19)</f>
        <v>64</v>
      </c>
      <c r="Q23" s="21">
        <f t="shared" si="1"/>
        <v>110</v>
      </c>
      <c r="R23" s="21">
        <f t="shared" si="1"/>
        <v>46</v>
      </c>
      <c r="S23" s="21">
        <f t="shared" si="1"/>
        <v>7</v>
      </c>
      <c r="T23" s="21">
        <f t="shared" si="1"/>
        <v>16</v>
      </c>
      <c r="U23" s="21">
        <f t="shared" si="1"/>
        <v>35</v>
      </c>
      <c r="V23" s="21">
        <f t="shared" si="1"/>
        <v>0</v>
      </c>
      <c r="W23" s="21">
        <f t="shared" si="1"/>
        <v>0</v>
      </c>
      <c r="X23" s="21">
        <f t="shared" si="1"/>
        <v>9</v>
      </c>
      <c r="Y23" s="21">
        <f t="shared" si="1"/>
        <v>7.5</v>
      </c>
      <c r="Z23" s="21">
        <f t="shared" si="1"/>
        <v>4.5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9.5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3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8.25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17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7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workbookViewId="0">
      <selection sqref="A1:Y4"/>
    </sheetView>
  </sheetViews>
  <sheetFormatPr defaultRowHeight="15" x14ac:dyDescent="0.25"/>
  <sheetData>
    <row r="1" spans="1:25" x14ac:dyDescent="0.25">
      <c r="A1" s="131" t="s">
        <v>94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3"/>
    </row>
    <row r="2" spans="1:25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6"/>
    </row>
    <row r="3" spans="1:25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6"/>
    </row>
    <row r="4" spans="1:25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9"/>
    </row>
    <row r="5" spans="1:25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2"/>
    </row>
    <row r="6" spans="1:25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95</v>
      </c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</row>
    <row r="7" spans="1:25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43" t="s">
        <v>25</v>
      </c>
      <c r="O7" s="146"/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</row>
    <row r="8" spans="1:25" ht="15.75" thickBot="1" x14ac:dyDescent="0.3">
      <c r="A8" s="8">
        <v>45505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25" ht="15.75" thickBot="1" x14ac:dyDescent="0.3">
      <c r="A9" s="8">
        <v>45536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25" ht="15.75" thickBot="1" x14ac:dyDescent="0.3">
      <c r="A10" s="8">
        <v>45566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25" ht="15.75" thickBot="1" x14ac:dyDescent="0.3">
      <c r="A11" s="8">
        <v>45597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</row>
    <row r="12" spans="1:25" ht="15.75" thickBot="1" x14ac:dyDescent="0.3">
      <c r="A12" s="8">
        <v>45627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</row>
    <row r="13" spans="1:25" ht="15.75" thickBot="1" x14ac:dyDescent="0.3">
      <c r="A13" s="8">
        <v>45658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</row>
    <row r="14" spans="1:25" ht="15.75" thickBot="1" x14ac:dyDescent="0.3">
      <c r="A14" s="8">
        <v>45689</v>
      </c>
      <c r="B14" s="9">
        <v>0</v>
      </c>
      <c r="C14" s="9">
        <v>2</v>
      </c>
      <c r="D14" s="10">
        <v>1</v>
      </c>
      <c r="E14" s="10">
        <v>0</v>
      </c>
      <c r="F14" s="10">
        <v>1</v>
      </c>
      <c r="G14" s="10">
        <v>1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1">
        <v>2</v>
      </c>
      <c r="Q14" s="11">
        <v>5</v>
      </c>
      <c r="R14" s="11">
        <v>2</v>
      </c>
      <c r="S14" s="11">
        <v>0</v>
      </c>
      <c r="T14" s="11">
        <v>3</v>
      </c>
      <c r="U14" s="11">
        <v>0</v>
      </c>
      <c r="V14" s="11">
        <v>0</v>
      </c>
      <c r="W14" s="11">
        <v>0</v>
      </c>
      <c r="X14" s="11">
        <v>0</v>
      </c>
      <c r="Y14" s="11">
        <v>2</v>
      </c>
    </row>
    <row r="15" spans="1:25" ht="15.75" thickBot="1" x14ac:dyDescent="0.3">
      <c r="A15" s="8">
        <v>45717</v>
      </c>
      <c r="B15" s="9">
        <v>2</v>
      </c>
      <c r="C15" s="9">
        <v>4</v>
      </c>
      <c r="D15" s="10">
        <v>2.5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2">
        <v>1</v>
      </c>
      <c r="K15" s="13">
        <v>0</v>
      </c>
      <c r="L15" s="13">
        <v>1</v>
      </c>
      <c r="M15" s="13">
        <v>0</v>
      </c>
      <c r="N15" s="13">
        <v>0</v>
      </c>
      <c r="O15" s="13">
        <v>5</v>
      </c>
      <c r="P15" s="11">
        <v>2</v>
      </c>
      <c r="Q15" s="11">
        <v>6</v>
      </c>
      <c r="R15" s="11">
        <v>3</v>
      </c>
      <c r="S15" s="11">
        <v>2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 t="s">
        <v>96</v>
      </c>
    </row>
    <row r="16" spans="1:25" ht="15.75" thickBot="1" x14ac:dyDescent="0.3">
      <c r="A16" s="8">
        <v>45748</v>
      </c>
      <c r="B16" s="9">
        <v>3</v>
      </c>
      <c r="C16" s="9">
        <v>5</v>
      </c>
      <c r="D16" s="10">
        <v>4</v>
      </c>
      <c r="E16" s="10">
        <v>0</v>
      </c>
      <c r="F16" s="10">
        <v>0</v>
      </c>
      <c r="G16" s="10">
        <v>0</v>
      </c>
      <c r="H16" s="10">
        <v>3</v>
      </c>
      <c r="I16" s="10">
        <v>0</v>
      </c>
      <c r="J16" s="12">
        <v>0</v>
      </c>
      <c r="K16" s="13">
        <v>0</v>
      </c>
      <c r="L16" s="13">
        <v>15</v>
      </c>
      <c r="M16" s="13">
        <v>0</v>
      </c>
      <c r="N16" s="13">
        <v>13</v>
      </c>
      <c r="O16" s="13">
        <v>6</v>
      </c>
      <c r="P16" s="11">
        <v>3</v>
      </c>
      <c r="Q16" s="11">
        <v>8</v>
      </c>
      <c r="R16" s="11">
        <v>4</v>
      </c>
      <c r="S16" s="11">
        <v>0</v>
      </c>
      <c r="T16" s="11">
        <v>4</v>
      </c>
      <c r="U16" s="11">
        <v>1</v>
      </c>
      <c r="V16" s="11">
        <v>0</v>
      </c>
      <c r="W16" s="11">
        <v>0</v>
      </c>
      <c r="X16" s="11">
        <v>1</v>
      </c>
      <c r="Y16" s="11">
        <v>2</v>
      </c>
    </row>
    <row r="17" spans="1:25" ht="15.75" thickBot="1" x14ac:dyDescent="0.3">
      <c r="A17" s="8">
        <v>45778</v>
      </c>
      <c r="B17" s="9">
        <v>2</v>
      </c>
      <c r="C17" s="9">
        <v>3.5</v>
      </c>
      <c r="D17" s="10">
        <v>2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2">
        <v>0</v>
      </c>
      <c r="K17" s="13">
        <v>0</v>
      </c>
      <c r="L17" s="13">
        <v>4</v>
      </c>
      <c r="M17" s="13">
        <v>0</v>
      </c>
      <c r="N17" s="13">
        <v>8</v>
      </c>
      <c r="O17" s="13">
        <v>7</v>
      </c>
      <c r="P17" s="11">
        <v>6</v>
      </c>
      <c r="Q17" s="11">
        <v>6</v>
      </c>
      <c r="R17" s="11">
        <v>3</v>
      </c>
      <c r="S17" s="11">
        <v>2</v>
      </c>
      <c r="T17" s="11">
        <v>1</v>
      </c>
      <c r="U17" s="11">
        <v>2</v>
      </c>
      <c r="V17" s="11">
        <v>0</v>
      </c>
      <c r="W17" s="11">
        <v>0</v>
      </c>
      <c r="X17" s="11">
        <v>2</v>
      </c>
      <c r="Y17" s="11">
        <v>2</v>
      </c>
    </row>
    <row r="18" spans="1:25" ht="15.75" thickBot="1" x14ac:dyDescent="0.3">
      <c r="A18" s="8">
        <v>45809</v>
      </c>
      <c r="B18" s="9">
        <v>3</v>
      </c>
      <c r="C18" s="9">
        <v>2.5</v>
      </c>
      <c r="D18" s="10">
        <v>0.5</v>
      </c>
      <c r="E18" s="10">
        <v>2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6</v>
      </c>
      <c r="M18" s="13">
        <v>0</v>
      </c>
      <c r="N18" s="13">
        <v>4</v>
      </c>
      <c r="O18" s="13">
        <v>6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3</v>
      </c>
      <c r="V18" s="11">
        <v>0</v>
      </c>
      <c r="W18" s="11">
        <v>0</v>
      </c>
      <c r="X18" s="11">
        <v>3</v>
      </c>
      <c r="Y18" s="11">
        <v>2</v>
      </c>
    </row>
    <row r="19" spans="1:25" ht="15.75" thickBot="1" x14ac:dyDescent="0.3">
      <c r="A19" s="8">
        <v>45839</v>
      </c>
      <c r="B19" s="9">
        <v>4</v>
      </c>
      <c r="C19" s="9">
        <v>4</v>
      </c>
      <c r="D19" s="12">
        <v>2</v>
      </c>
      <c r="E19" s="14">
        <v>2</v>
      </c>
      <c r="F19" s="15">
        <v>0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3</v>
      </c>
      <c r="P19" s="11">
        <v>2</v>
      </c>
      <c r="Q19" s="11">
        <v>1</v>
      </c>
      <c r="R19" s="11">
        <v>0</v>
      </c>
      <c r="S19" s="11">
        <v>0</v>
      </c>
      <c r="T19" s="11">
        <v>1</v>
      </c>
      <c r="U19" s="11">
        <v>3</v>
      </c>
      <c r="V19" s="11">
        <v>0</v>
      </c>
      <c r="W19" s="11">
        <v>0</v>
      </c>
      <c r="X19" s="17">
        <v>3</v>
      </c>
      <c r="Y19" s="11"/>
    </row>
    <row r="20" spans="1:25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9"/>
      <c r="Q20" s="19"/>
      <c r="R20" s="19"/>
      <c r="S20" s="19"/>
      <c r="T20" s="19"/>
      <c r="U20" s="19"/>
      <c r="V20" s="19"/>
      <c r="W20" s="19"/>
      <c r="X20" s="19"/>
      <c r="Y20" s="17"/>
    </row>
    <row r="21" spans="1:25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9"/>
      <c r="Q21" s="19"/>
      <c r="R21" s="19"/>
      <c r="S21" s="19"/>
      <c r="T21" s="19"/>
      <c r="U21" s="19"/>
      <c r="V21" s="19"/>
      <c r="W21" s="19"/>
      <c r="X21" s="19"/>
      <c r="Y21" s="17"/>
    </row>
    <row r="22" spans="1:25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thickBot="1" x14ac:dyDescent="0.3">
      <c r="B23" s="21">
        <f t="shared" ref="B23:Y23" si="0">SUM(B8:B19)</f>
        <v>14</v>
      </c>
      <c r="C23" s="21">
        <f t="shared" si="0"/>
        <v>21</v>
      </c>
      <c r="D23" s="21">
        <f t="shared" si="0"/>
        <v>12</v>
      </c>
      <c r="E23" s="21">
        <f t="shared" si="0"/>
        <v>4</v>
      </c>
      <c r="F23" s="21">
        <f t="shared" si="0"/>
        <v>5</v>
      </c>
      <c r="G23" s="21">
        <f t="shared" si="0"/>
        <v>1</v>
      </c>
      <c r="H23" s="21">
        <f t="shared" si="0"/>
        <v>3</v>
      </c>
      <c r="I23" s="21">
        <f t="shared" si="0"/>
        <v>0</v>
      </c>
      <c r="J23" s="21">
        <f t="shared" si="0"/>
        <v>1</v>
      </c>
      <c r="K23" s="21">
        <f t="shared" si="0"/>
        <v>0</v>
      </c>
      <c r="L23" s="21">
        <f t="shared" si="0"/>
        <v>26</v>
      </c>
      <c r="M23" s="21">
        <f t="shared" si="0"/>
        <v>0</v>
      </c>
      <c r="N23" s="21">
        <f t="shared" si="0"/>
        <v>25</v>
      </c>
      <c r="O23" s="21">
        <f t="shared" si="0"/>
        <v>27</v>
      </c>
      <c r="P23" s="21">
        <f t="shared" si="0"/>
        <v>15</v>
      </c>
      <c r="Q23" s="21">
        <f t="shared" si="0"/>
        <v>26</v>
      </c>
      <c r="R23" s="21">
        <f t="shared" si="0"/>
        <v>12</v>
      </c>
      <c r="S23" s="21">
        <f t="shared" si="0"/>
        <v>4</v>
      </c>
      <c r="T23" s="21">
        <f t="shared" si="0"/>
        <v>10</v>
      </c>
      <c r="U23" s="21">
        <f t="shared" si="0"/>
        <v>9</v>
      </c>
      <c r="V23" s="21">
        <f t="shared" si="0"/>
        <v>0</v>
      </c>
      <c r="W23" s="21">
        <f t="shared" si="0"/>
        <v>0</v>
      </c>
      <c r="X23" s="21">
        <f t="shared" si="0"/>
        <v>9</v>
      </c>
      <c r="Y23" s="21">
        <f t="shared" si="0"/>
        <v>8</v>
      </c>
    </row>
    <row r="24" spans="1:25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</row>
    <row r="25" spans="1:25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5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6"/>
      <c r="P26" s="12">
        <v>12</v>
      </c>
    </row>
    <row r="27" spans="1:25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9"/>
      <c r="P27" s="157">
        <v>4</v>
      </c>
      <c r="Q27" s="22"/>
      <c r="R27" s="22"/>
      <c r="S27" s="22"/>
    </row>
    <row r="28" spans="1:25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3"/>
      <c r="P28" s="158"/>
      <c r="Q28" s="22"/>
      <c r="R28" s="22"/>
      <c r="S28" s="22"/>
    </row>
    <row r="29" spans="1:25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6"/>
      <c r="P29" s="12">
        <v>5</v>
      </c>
    </row>
    <row r="30" spans="1:25" ht="15.75" thickBot="1" x14ac:dyDescent="0.3">
      <c r="M30" s="164" t="s">
        <v>145</v>
      </c>
      <c r="N30" s="165"/>
      <c r="O30" s="166"/>
      <c r="P30" s="12">
        <v>4</v>
      </c>
    </row>
    <row r="31" spans="1:25" ht="15.75" thickBot="1" x14ac:dyDescent="0.3">
      <c r="M31" s="164" t="s">
        <v>43</v>
      </c>
      <c r="N31" s="165"/>
      <c r="O31" s="166"/>
      <c r="P31" s="78">
        <v>1</v>
      </c>
    </row>
  </sheetData>
  <mergeCells count="31">
    <mergeCell ref="M30:O30"/>
    <mergeCell ref="M31:O31"/>
    <mergeCell ref="M29:O29"/>
    <mergeCell ref="A24:O24"/>
    <mergeCell ref="A25:D25"/>
    <mergeCell ref="E25:I25"/>
    <mergeCell ref="J25:K25"/>
    <mergeCell ref="A26:D26"/>
    <mergeCell ref="E26:I26"/>
    <mergeCell ref="J26:K26"/>
    <mergeCell ref="M26:O26"/>
    <mergeCell ref="A27:D27"/>
    <mergeCell ref="E27:I29"/>
    <mergeCell ref="J27:K29"/>
    <mergeCell ref="M27:O28"/>
    <mergeCell ref="P27:P28"/>
    <mergeCell ref="A28:D28"/>
    <mergeCell ref="A29:D29"/>
    <mergeCell ref="A1:Y4"/>
    <mergeCell ref="A5:Y5"/>
    <mergeCell ref="A6:A7"/>
    <mergeCell ref="B6:B7"/>
    <mergeCell ref="D6:F6"/>
    <mergeCell ref="G6:H6"/>
    <mergeCell ref="I6:J6"/>
    <mergeCell ref="K6:N6"/>
    <mergeCell ref="O6:O7"/>
    <mergeCell ref="P6:P7"/>
    <mergeCell ref="Q6:T6"/>
    <mergeCell ref="U6:X6"/>
    <mergeCell ref="Y6:Y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92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1.5</v>
      </c>
      <c r="C8" s="9">
        <v>3</v>
      </c>
      <c r="D8" s="10">
        <v>3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1</v>
      </c>
      <c r="Q8" s="10">
        <v>1</v>
      </c>
      <c r="R8" s="10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 t="s">
        <v>93</v>
      </c>
      <c r="Z8" s="11">
        <v>1</v>
      </c>
    </row>
    <row r="9" spans="1:26" ht="15.75" thickBot="1" x14ac:dyDescent="0.3">
      <c r="A9" s="8">
        <v>45536</v>
      </c>
      <c r="B9" s="9">
        <v>2.2999999999999998</v>
      </c>
      <c r="C9" s="9">
        <v>2</v>
      </c>
      <c r="D9" s="10">
        <v>0</v>
      </c>
      <c r="E9" s="10">
        <v>2</v>
      </c>
      <c r="F9" s="10">
        <v>0</v>
      </c>
      <c r="G9" s="11">
        <v>0</v>
      </c>
      <c r="H9" s="10">
        <v>0</v>
      </c>
      <c r="I9" s="10">
        <v>0</v>
      </c>
      <c r="J9" s="12">
        <v>0</v>
      </c>
      <c r="K9" s="13">
        <v>0</v>
      </c>
      <c r="L9" s="13">
        <v>0</v>
      </c>
      <c r="M9" s="13">
        <v>0</v>
      </c>
      <c r="N9" s="13">
        <v>0</v>
      </c>
      <c r="O9" s="13">
        <v>3</v>
      </c>
      <c r="P9" s="13">
        <v>2</v>
      </c>
      <c r="Q9" s="11">
        <v>3</v>
      </c>
      <c r="R9" s="11">
        <v>0</v>
      </c>
      <c r="S9" s="11">
        <v>0</v>
      </c>
      <c r="T9" s="11">
        <v>3</v>
      </c>
      <c r="U9" s="11">
        <v>1</v>
      </c>
      <c r="V9" s="11">
        <v>0</v>
      </c>
      <c r="W9" s="11">
        <v>0</v>
      </c>
      <c r="X9" s="11">
        <v>1</v>
      </c>
      <c r="Y9" s="11" t="s">
        <v>93</v>
      </c>
      <c r="Z9" s="11">
        <v>0</v>
      </c>
    </row>
    <row r="10" spans="1:26" ht="15.75" thickBot="1" x14ac:dyDescent="0.3">
      <c r="A10" s="8">
        <v>45566</v>
      </c>
      <c r="B10" s="9">
        <v>2</v>
      </c>
      <c r="C10" s="9">
        <v>3.5</v>
      </c>
      <c r="D10" s="10">
        <v>3.5</v>
      </c>
      <c r="E10" s="10">
        <v>0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5</v>
      </c>
      <c r="P10" s="13">
        <v>6</v>
      </c>
      <c r="Q10" s="11">
        <v>1</v>
      </c>
      <c r="R10" s="11">
        <v>0</v>
      </c>
      <c r="S10" s="11">
        <v>0</v>
      </c>
      <c r="T10" s="11">
        <v>1</v>
      </c>
      <c r="U10" s="11">
        <v>3</v>
      </c>
      <c r="V10" s="11">
        <v>0</v>
      </c>
      <c r="W10" s="11">
        <v>0</v>
      </c>
      <c r="X10" s="11">
        <v>3</v>
      </c>
      <c r="Y10" s="11">
        <v>0</v>
      </c>
      <c r="Z10" s="11">
        <v>7.5</v>
      </c>
    </row>
    <row r="11" spans="1:26" ht="15.75" thickBot="1" x14ac:dyDescent="0.3">
      <c r="A11" s="8">
        <v>45597</v>
      </c>
      <c r="B11" s="9">
        <v>1</v>
      </c>
      <c r="C11" s="9">
        <v>3.37</v>
      </c>
      <c r="D11" s="10">
        <v>2.87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7</v>
      </c>
      <c r="Q11" s="11">
        <v>3</v>
      </c>
      <c r="R11" s="11">
        <v>2</v>
      </c>
      <c r="S11" s="11">
        <v>1</v>
      </c>
      <c r="T11" s="11">
        <v>0</v>
      </c>
      <c r="U11" s="11">
        <v>2</v>
      </c>
      <c r="V11" s="11">
        <v>0</v>
      </c>
      <c r="W11" s="11">
        <v>0</v>
      </c>
      <c r="X11" s="11">
        <v>2</v>
      </c>
      <c r="Y11" s="11">
        <v>0</v>
      </c>
      <c r="Z11" s="11">
        <v>1.5</v>
      </c>
    </row>
    <row r="12" spans="1:26" ht="15.75" thickBot="1" x14ac:dyDescent="0.3">
      <c r="A12" s="8">
        <v>45627</v>
      </c>
      <c r="B12" s="9">
        <v>1</v>
      </c>
      <c r="C12" s="9">
        <v>2.5</v>
      </c>
      <c r="D12" s="10">
        <v>2.5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8</v>
      </c>
      <c r="P12" s="13">
        <v>12</v>
      </c>
      <c r="Q12" s="11">
        <v>2</v>
      </c>
      <c r="R12" s="11">
        <v>1</v>
      </c>
      <c r="S12" s="11">
        <v>1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</row>
    <row r="13" spans="1:26" ht="15.75" thickBot="1" x14ac:dyDescent="0.3">
      <c r="A13" s="8">
        <v>45658</v>
      </c>
      <c r="B13" s="9">
        <v>1.3</v>
      </c>
      <c r="C13" s="9">
        <v>1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4</v>
      </c>
      <c r="P13" s="13">
        <v>4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5.75" thickBot="1" x14ac:dyDescent="0.3">
      <c r="A16" s="8">
        <v>45748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5.75" thickBot="1" x14ac:dyDescent="0.3">
      <c r="A17" s="8">
        <v>45778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5.75" thickBot="1" x14ac:dyDescent="0.3">
      <c r="A19" s="8">
        <v>45839</v>
      </c>
      <c r="B19" s="9"/>
      <c r="C19" s="9"/>
      <c r="D19" s="12"/>
      <c r="E19" s="14"/>
      <c r="F19" s="15"/>
      <c r="G19" s="10"/>
      <c r="H19" s="15"/>
      <c r="I19" s="10"/>
      <c r="J19" s="12"/>
      <c r="K19" s="15"/>
      <c r="L19" s="13"/>
      <c r="M19" s="13"/>
      <c r="N19" s="15"/>
      <c r="O19" s="16"/>
      <c r="P19" s="16"/>
      <c r="Q19" s="11"/>
      <c r="R19" s="11"/>
      <c r="S19" s="11"/>
      <c r="T19" s="11"/>
      <c r="U19" s="11"/>
      <c r="V19" s="11"/>
      <c r="W19" s="11"/>
      <c r="X19" s="11"/>
      <c r="Y19" s="17"/>
      <c r="Z19" s="11"/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9.1</v>
      </c>
      <c r="C23" s="21">
        <f t="shared" si="0"/>
        <v>15.370000000000001</v>
      </c>
      <c r="D23" s="21">
        <f t="shared" si="0"/>
        <v>12.870000000000001</v>
      </c>
      <c r="E23" s="21">
        <f t="shared" si="0"/>
        <v>2</v>
      </c>
      <c r="F23" s="21">
        <f t="shared" si="0"/>
        <v>1</v>
      </c>
      <c r="G23" s="21">
        <f t="shared" si="0"/>
        <v>0</v>
      </c>
      <c r="H23" s="21">
        <f t="shared" si="0"/>
        <v>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0</v>
      </c>
      <c r="M23" s="21">
        <f t="shared" si="0"/>
        <v>0</v>
      </c>
      <c r="N23" s="21">
        <f t="shared" si="0"/>
        <v>0</v>
      </c>
      <c r="O23" s="21"/>
      <c r="P23" s="21">
        <f t="shared" ref="P23:Z23" si="1">SUM(P8:P19)</f>
        <v>32</v>
      </c>
      <c r="Q23" s="21">
        <f t="shared" si="1"/>
        <v>10</v>
      </c>
      <c r="R23" s="21">
        <f t="shared" si="1"/>
        <v>3</v>
      </c>
      <c r="S23" s="21">
        <f t="shared" si="1"/>
        <v>2</v>
      </c>
      <c r="T23" s="21">
        <f t="shared" si="1"/>
        <v>5</v>
      </c>
      <c r="U23" s="21">
        <f t="shared" si="1"/>
        <v>6</v>
      </c>
      <c r="V23" s="21">
        <f t="shared" si="1"/>
        <v>0</v>
      </c>
      <c r="W23" s="21">
        <f t="shared" si="1"/>
        <v>0</v>
      </c>
      <c r="X23" s="21">
        <f t="shared" si="1"/>
        <v>6</v>
      </c>
      <c r="Y23" s="21">
        <f t="shared" si="1"/>
        <v>0</v>
      </c>
      <c r="Z23" s="21">
        <f t="shared" si="1"/>
        <v>10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12.87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2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1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0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0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83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84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9">
        <v>0</v>
      </c>
      <c r="C11" s="9">
        <v>2</v>
      </c>
      <c r="D11" s="10">
        <v>1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1</v>
      </c>
      <c r="Q11" s="11">
        <v>15</v>
      </c>
      <c r="R11" s="11">
        <v>13</v>
      </c>
      <c r="S11" s="11">
        <v>0</v>
      </c>
      <c r="T11" s="11">
        <v>2</v>
      </c>
      <c r="U11" s="11">
        <v>1</v>
      </c>
      <c r="V11" s="11">
        <v>0</v>
      </c>
      <c r="W11" s="11">
        <v>0</v>
      </c>
      <c r="X11" s="11">
        <v>1</v>
      </c>
      <c r="Y11" s="11" t="s">
        <v>85</v>
      </c>
      <c r="Z11" s="11">
        <v>0</v>
      </c>
    </row>
    <row r="12" spans="1:26" ht="15.75" thickBot="1" x14ac:dyDescent="0.3">
      <c r="A12" s="8">
        <v>45627</v>
      </c>
      <c r="B12" s="10">
        <v>3</v>
      </c>
      <c r="C12" s="10">
        <v>3</v>
      </c>
      <c r="D12" s="10">
        <v>2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9</v>
      </c>
      <c r="P12" s="13">
        <v>18</v>
      </c>
      <c r="Q12" s="11">
        <v>26</v>
      </c>
      <c r="R12" s="11">
        <v>18</v>
      </c>
      <c r="S12" s="11">
        <v>5</v>
      </c>
      <c r="T12" s="11">
        <v>3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</row>
    <row r="13" spans="1:26" ht="15.75" thickBot="1" x14ac:dyDescent="0.3">
      <c r="A13" s="8">
        <v>45658</v>
      </c>
      <c r="B13" s="10">
        <v>4</v>
      </c>
      <c r="C13" s="10">
        <v>4.5</v>
      </c>
      <c r="D13" s="10">
        <v>1</v>
      </c>
      <c r="E13" s="10">
        <v>0</v>
      </c>
      <c r="F13" s="10">
        <v>4</v>
      </c>
      <c r="G13" s="10">
        <v>3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8</v>
      </c>
      <c r="P13" s="13">
        <v>34</v>
      </c>
      <c r="Q13" s="11">
        <v>20</v>
      </c>
      <c r="R13" s="11">
        <v>13</v>
      </c>
      <c r="S13" s="11">
        <v>6</v>
      </c>
      <c r="T13" s="11">
        <v>1</v>
      </c>
      <c r="U13" s="11">
        <v>1</v>
      </c>
      <c r="V13" s="11">
        <v>0</v>
      </c>
      <c r="W13" s="11">
        <v>0</v>
      </c>
      <c r="X13" s="11">
        <v>1</v>
      </c>
      <c r="Y13" s="11">
        <v>0</v>
      </c>
      <c r="Z13" s="11">
        <v>0</v>
      </c>
    </row>
    <row r="14" spans="1:26" ht="15.75" thickBot="1" x14ac:dyDescent="0.3">
      <c r="A14" s="8">
        <v>45689</v>
      </c>
      <c r="B14" s="10">
        <v>2</v>
      </c>
      <c r="C14" s="10">
        <v>6</v>
      </c>
      <c r="D14" s="10">
        <v>2</v>
      </c>
      <c r="E14" s="10">
        <v>0</v>
      </c>
      <c r="F14" s="10">
        <v>5</v>
      </c>
      <c r="G14" s="10">
        <v>3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28</v>
      </c>
      <c r="P14" s="13">
        <v>36</v>
      </c>
      <c r="Q14" s="11">
        <v>18</v>
      </c>
      <c r="R14" s="11">
        <v>12</v>
      </c>
      <c r="S14" s="11">
        <v>3</v>
      </c>
      <c r="T14" s="11">
        <v>3</v>
      </c>
      <c r="U14" s="11">
        <v>8</v>
      </c>
      <c r="V14" s="11">
        <v>0</v>
      </c>
      <c r="W14" s="11">
        <v>0</v>
      </c>
      <c r="X14" s="11">
        <v>8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10">
        <v>2</v>
      </c>
      <c r="C15" s="10">
        <v>5</v>
      </c>
      <c r="D15" s="10">
        <v>1</v>
      </c>
      <c r="E15" s="10">
        <v>0</v>
      </c>
      <c r="F15" s="10">
        <v>5</v>
      </c>
      <c r="G15" s="10">
        <v>3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36</v>
      </c>
      <c r="P15" s="13">
        <v>11</v>
      </c>
      <c r="Q15" s="11">
        <v>18</v>
      </c>
      <c r="R15" s="11">
        <v>4</v>
      </c>
      <c r="S15" s="11">
        <v>0</v>
      </c>
      <c r="T15" s="11">
        <v>14</v>
      </c>
      <c r="U15" s="11">
        <v>3</v>
      </c>
      <c r="V15" s="11">
        <v>0</v>
      </c>
      <c r="W15" s="11">
        <v>0</v>
      </c>
      <c r="X15" s="11">
        <v>3</v>
      </c>
      <c r="Y15" s="11" t="s">
        <v>86</v>
      </c>
      <c r="Z15" s="11">
        <v>0</v>
      </c>
    </row>
    <row r="16" spans="1:26" ht="15.75" thickBot="1" x14ac:dyDescent="0.3">
      <c r="A16" s="8">
        <v>45748</v>
      </c>
      <c r="B16" s="10">
        <v>1</v>
      </c>
      <c r="C16" s="10">
        <v>14.8</v>
      </c>
      <c r="D16" s="10">
        <v>4</v>
      </c>
      <c r="E16" s="10">
        <v>0</v>
      </c>
      <c r="F16" s="10">
        <v>15</v>
      </c>
      <c r="G16" s="10">
        <v>0</v>
      </c>
      <c r="H16" s="10">
        <v>10</v>
      </c>
      <c r="I16" s="10">
        <v>0</v>
      </c>
      <c r="J16" s="12">
        <v>0</v>
      </c>
      <c r="K16" s="13">
        <v>0</v>
      </c>
      <c r="L16" s="13">
        <v>8</v>
      </c>
      <c r="M16" s="13">
        <v>0</v>
      </c>
      <c r="N16" s="13">
        <v>10</v>
      </c>
      <c r="O16" s="13">
        <v>43</v>
      </c>
      <c r="P16" s="13">
        <v>7</v>
      </c>
      <c r="Q16" s="11">
        <v>6</v>
      </c>
      <c r="R16" s="11">
        <v>1</v>
      </c>
      <c r="S16" s="11">
        <v>0</v>
      </c>
      <c r="T16" s="11">
        <v>5</v>
      </c>
      <c r="U16" s="11">
        <v>0</v>
      </c>
      <c r="V16" s="11">
        <v>0</v>
      </c>
      <c r="W16" s="11">
        <v>0</v>
      </c>
      <c r="X16" s="11">
        <v>0</v>
      </c>
      <c r="Y16" s="11" t="s">
        <v>87</v>
      </c>
      <c r="Z16" s="11">
        <v>1</v>
      </c>
    </row>
    <row r="17" spans="1:26" ht="15.75" thickBot="1" x14ac:dyDescent="0.3">
      <c r="A17" s="8">
        <v>45778</v>
      </c>
      <c r="B17" s="10">
        <v>3</v>
      </c>
      <c r="C17" s="10">
        <v>7.5</v>
      </c>
      <c r="D17" s="10">
        <v>4</v>
      </c>
      <c r="E17" s="10">
        <v>0</v>
      </c>
      <c r="F17" s="10">
        <v>2</v>
      </c>
      <c r="G17" s="10">
        <v>5</v>
      </c>
      <c r="H17" s="10">
        <v>0</v>
      </c>
      <c r="I17" s="10">
        <v>0</v>
      </c>
      <c r="J17" s="12">
        <v>0</v>
      </c>
      <c r="K17" s="13">
        <v>0</v>
      </c>
      <c r="L17" s="13">
        <v>1</v>
      </c>
      <c r="M17" s="13">
        <v>0</v>
      </c>
      <c r="N17" s="13">
        <v>14</v>
      </c>
      <c r="O17" s="13">
        <v>27</v>
      </c>
      <c r="P17" s="13">
        <v>14</v>
      </c>
      <c r="Q17" s="11">
        <v>3</v>
      </c>
      <c r="R17" s="11">
        <v>1</v>
      </c>
      <c r="S17" s="11">
        <v>0</v>
      </c>
      <c r="T17" s="11">
        <v>2</v>
      </c>
      <c r="U17" s="11">
        <v>4</v>
      </c>
      <c r="V17" s="11">
        <v>0</v>
      </c>
      <c r="W17" s="11">
        <v>0</v>
      </c>
      <c r="X17" s="11">
        <v>4</v>
      </c>
      <c r="Y17" s="11" t="s">
        <v>88</v>
      </c>
      <c r="Z17" s="11">
        <v>1</v>
      </c>
    </row>
    <row r="18" spans="1:26" ht="15.75" thickBot="1" x14ac:dyDescent="0.3">
      <c r="A18" s="8">
        <v>45809</v>
      </c>
      <c r="B18" s="10">
        <v>6</v>
      </c>
      <c r="C18" s="10">
        <v>6</v>
      </c>
      <c r="D18" s="10">
        <v>3</v>
      </c>
      <c r="E18" s="10">
        <v>2</v>
      </c>
      <c r="F18" s="10">
        <v>2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0</v>
      </c>
      <c r="M18" s="13">
        <v>0</v>
      </c>
      <c r="N18" s="13">
        <v>1</v>
      </c>
      <c r="O18" s="13">
        <v>10</v>
      </c>
      <c r="P18" s="13">
        <v>3</v>
      </c>
      <c r="Q18" s="11">
        <v>1</v>
      </c>
      <c r="R18" s="11">
        <v>1</v>
      </c>
      <c r="S18" s="11">
        <v>0</v>
      </c>
      <c r="T18" s="11">
        <v>0</v>
      </c>
      <c r="U18" s="11">
        <v>7</v>
      </c>
      <c r="V18" s="11">
        <v>0</v>
      </c>
      <c r="W18" s="11">
        <v>0</v>
      </c>
      <c r="X18" s="11">
        <v>7</v>
      </c>
      <c r="Y18" s="11">
        <v>0</v>
      </c>
      <c r="Z18" s="11">
        <v>0</v>
      </c>
    </row>
    <row r="19" spans="1:26" ht="15.75" thickBot="1" x14ac:dyDescent="0.3">
      <c r="A19" s="8">
        <v>45839</v>
      </c>
      <c r="B19" s="10">
        <v>7</v>
      </c>
      <c r="C19" s="10">
        <v>7.25</v>
      </c>
      <c r="D19" s="12">
        <v>1</v>
      </c>
      <c r="E19" s="14">
        <v>6</v>
      </c>
      <c r="F19" s="15">
        <v>0</v>
      </c>
      <c r="G19" s="10">
        <v>1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12</v>
      </c>
      <c r="P19" s="16">
        <v>8</v>
      </c>
      <c r="Q19" s="11">
        <v>14</v>
      </c>
      <c r="R19" s="11">
        <v>12</v>
      </c>
      <c r="S19" s="11">
        <v>1</v>
      </c>
      <c r="T19" s="11">
        <v>1</v>
      </c>
      <c r="U19" s="11">
        <v>10</v>
      </c>
      <c r="V19" s="11">
        <v>0</v>
      </c>
      <c r="W19" s="11">
        <v>0</v>
      </c>
      <c r="X19" s="11">
        <v>10</v>
      </c>
      <c r="Y19" s="11">
        <v>0</v>
      </c>
      <c r="Z19" s="11">
        <v>2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28</v>
      </c>
      <c r="C23" s="21">
        <f t="shared" si="0"/>
        <v>56.05</v>
      </c>
      <c r="D23" s="21">
        <f t="shared" si="0"/>
        <v>19</v>
      </c>
      <c r="E23" s="21">
        <f t="shared" si="0"/>
        <v>8</v>
      </c>
      <c r="F23" s="21">
        <f t="shared" si="0"/>
        <v>36</v>
      </c>
      <c r="G23" s="21">
        <f t="shared" si="0"/>
        <v>16</v>
      </c>
      <c r="H23" s="21">
        <f t="shared" si="0"/>
        <v>10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9</v>
      </c>
      <c r="M23" s="21">
        <f t="shared" si="0"/>
        <v>0</v>
      </c>
      <c r="N23" s="21">
        <f t="shared" si="0"/>
        <v>25</v>
      </c>
      <c r="O23" s="21">
        <v>161</v>
      </c>
      <c r="P23" s="21">
        <f t="shared" ref="P23:Z23" si="1">SUM(P8:P19)</f>
        <v>132</v>
      </c>
      <c r="Q23" s="21">
        <f t="shared" si="1"/>
        <v>121</v>
      </c>
      <c r="R23" s="21">
        <f t="shared" si="1"/>
        <v>75</v>
      </c>
      <c r="S23" s="21">
        <f t="shared" si="1"/>
        <v>15</v>
      </c>
      <c r="T23" s="21">
        <f t="shared" si="1"/>
        <v>31</v>
      </c>
      <c r="U23" s="21">
        <f t="shared" si="1"/>
        <v>34</v>
      </c>
      <c r="V23" s="21">
        <f t="shared" si="1"/>
        <v>0</v>
      </c>
      <c r="W23" s="21">
        <f t="shared" si="1"/>
        <v>0</v>
      </c>
      <c r="X23" s="21">
        <f t="shared" si="1"/>
        <v>34</v>
      </c>
      <c r="Y23" s="21">
        <f t="shared" si="1"/>
        <v>0</v>
      </c>
      <c r="Z23" s="21">
        <f t="shared" si="1"/>
        <v>4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18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2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36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26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0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1"/>
  <sheetViews>
    <sheetView workbookViewId="0">
      <selection sqref="A1:Z4"/>
    </sheetView>
  </sheetViews>
  <sheetFormatPr defaultRowHeight="15" x14ac:dyDescent="0.25"/>
  <cols>
    <col min="27" max="27" width="14.5703125" customWidth="1"/>
  </cols>
  <sheetData>
    <row r="1" spans="1:26" x14ac:dyDescent="0.25">
      <c r="A1" s="131" t="s">
        <v>81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82</v>
      </c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146"/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1"/>
      <c r="U8" s="11"/>
      <c r="V8" s="11"/>
      <c r="W8" s="11"/>
      <c r="X8" s="11"/>
      <c r="Y8" s="11"/>
      <c r="Z8" s="11"/>
    </row>
    <row r="9" spans="1:26" ht="15.75" thickBot="1" x14ac:dyDescent="0.3">
      <c r="A9" s="8">
        <v>45536</v>
      </c>
      <c r="B9" s="9"/>
      <c r="C9" s="9"/>
      <c r="D9" s="10"/>
      <c r="E9" s="10"/>
      <c r="F9" s="10"/>
      <c r="G9" s="11"/>
      <c r="H9" s="10"/>
      <c r="I9" s="10"/>
      <c r="J9" s="12"/>
      <c r="K9" s="13"/>
      <c r="L9" s="13"/>
      <c r="M9" s="13"/>
      <c r="N9" s="13"/>
      <c r="O9" s="13"/>
      <c r="P9" s="13"/>
      <c r="Q9" s="11"/>
      <c r="R9" s="11"/>
      <c r="S9" s="11"/>
      <c r="T9" s="11"/>
      <c r="U9" s="11"/>
      <c r="V9" s="11"/>
      <c r="W9" s="11"/>
      <c r="X9" s="11"/>
      <c r="Y9" s="11"/>
      <c r="Z9" s="11">
        <v>0</v>
      </c>
    </row>
    <row r="10" spans="1:26" ht="15.75" thickBot="1" x14ac:dyDescent="0.3">
      <c r="A10" s="8">
        <v>45566</v>
      </c>
      <c r="B10" s="9">
        <v>0</v>
      </c>
      <c r="C10" s="9">
        <v>0</v>
      </c>
      <c r="D10" s="10">
        <v>0</v>
      </c>
      <c r="E10" s="10">
        <v>0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</row>
    <row r="11" spans="1:26" ht="15.75" thickBot="1" x14ac:dyDescent="0.3">
      <c r="A11" s="8">
        <v>45597</v>
      </c>
      <c r="B11" s="9">
        <v>0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2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2</v>
      </c>
      <c r="Z11" s="11">
        <v>0</v>
      </c>
    </row>
    <row r="12" spans="1:26" ht="15.75" thickBot="1" x14ac:dyDescent="0.3">
      <c r="A12" s="8">
        <v>45627</v>
      </c>
      <c r="B12" s="9">
        <v>2</v>
      </c>
      <c r="C12" s="9">
        <v>1.5</v>
      </c>
      <c r="D12" s="10">
        <v>1.5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1">
        <v>4</v>
      </c>
      <c r="R12" s="11">
        <v>2</v>
      </c>
      <c r="S12" s="11">
        <v>0</v>
      </c>
      <c r="T12" s="11">
        <v>2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</row>
    <row r="13" spans="1:26" ht="15.75" thickBot="1" x14ac:dyDescent="0.3">
      <c r="A13" s="8">
        <v>45658</v>
      </c>
      <c r="B13" s="9">
        <v>1</v>
      </c>
      <c r="C13" s="9">
        <v>1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5</v>
      </c>
      <c r="Q13" s="11">
        <v>1</v>
      </c>
      <c r="R13" s="11">
        <v>1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2</v>
      </c>
      <c r="Z13" s="11">
        <v>0</v>
      </c>
    </row>
    <row r="14" spans="1:26" ht="15.75" thickBot="1" x14ac:dyDescent="0.3">
      <c r="A14" s="8">
        <v>45689</v>
      </c>
      <c r="B14" s="9">
        <v>4</v>
      </c>
      <c r="C14" s="9">
        <v>1</v>
      </c>
      <c r="D14" s="10">
        <v>0</v>
      </c>
      <c r="E14" s="10">
        <v>0</v>
      </c>
      <c r="F14" s="10">
        <v>0</v>
      </c>
      <c r="G14" s="10">
        <v>2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5</v>
      </c>
      <c r="P14" s="13">
        <v>8</v>
      </c>
      <c r="Q14" s="11">
        <v>11</v>
      </c>
      <c r="R14" s="11">
        <v>8</v>
      </c>
      <c r="S14" s="11">
        <v>0</v>
      </c>
      <c r="T14" s="11">
        <v>3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9">
        <v>1</v>
      </c>
      <c r="C15" s="9">
        <v>3</v>
      </c>
      <c r="D15" s="10">
        <v>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14</v>
      </c>
      <c r="P15" s="13">
        <v>5</v>
      </c>
      <c r="Q15" s="11">
        <v>8</v>
      </c>
      <c r="R15" s="11">
        <v>3</v>
      </c>
      <c r="S15" s="11">
        <v>0</v>
      </c>
      <c r="T15" s="11">
        <v>5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9">
        <v>1</v>
      </c>
      <c r="C16" s="9">
        <v>6.1</v>
      </c>
      <c r="D16" s="10">
        <v>1.5</v>
      </c>
      <c r="E16" s="10">
        <v>0</v>
      </c>
      <c r="F16" s="10">
        <v>0</v>
      </c>
      <c r="G16" s="10">
        <v>0</v>
      </c>
      <c r="H16" s="10">
        <v>5</v>
      </c>
      <c r="I16" s="10">
        <v>1</v>
      </c>
      <c r="J16" s="12">
        <v>2</v>
      </c>
      <c r="K16" s="13">
        <v>0</v>
      </c>
      <c r="L16" s="13">
        <v>1</v>
      </c>
      <c r="M16" s="13">
        <v>0</v>
      </c>
      <c r="N16" s="13">
        <v>0</v>
      </c>
      <c r="O16" s="13">
        <v>19</v>
      </c>
      <c r="P16" s="13">
        <v>2</v>
      </c>
      <c r="Q16" s="11">
        <v>6</v>
      </c>
      <c r="R16" s="11">
        <v>3</v>
      </c>
      <c r="S16" s="11">
        <v>0</v>
      </c>
      <c r="T16" s="11">
        <v>3</v>
      </c>
      <c r="U16" s="11">
        <v>1</v>
      </c>
      <c r="V16" s="11">
        <v>0</v>
      </c>
      <c r="W16" s="11">
        <v>0</v>
      </c>
      <c r="X16" s="11">
        <v>1</v>
      </c>
      <c r="Y16" s="11">
        <v>0</v>
      </c>
      <c r="Z16" s="11">
        <v>0</v>
      </c>
    </row>
    <row r="17" spans="1:27" ht="15.75" thickBot="1" x14ac:dyDescent="0.3">
      <c r="A17" s="8">
        <v>45778</v>
      </c>
      <c r="B17" s="9">
        <v>1</v>
      </c>
      <c r="C17" s="9">
        <v>1.5</v>
      </c>
      <c r="D17" s="10">
        <v>0.5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0</v>
      </c>
      <c r="O17" s="13">
        <v>3</v>
      </c>
      <c r="P17" s="13">
        <v>6</v>
      </c>
      <c r="Q17" s="11">
        <v>1</v>
      </c>
      <c r="R17" s="11">
        <v>0</v>
      </c>
      <c r="S17" s="11">
        <v>1</v>
      </c>
      <c r="T17" s="11">
        <v>0</v>
      </c>
      <c r="U17" s="11">
        <v>2</v>
      </c>
      <c r="V17" s="11">
        <v>0</v>
      </c>
      <c r="W17" s="11">
        <v>0</v>
      </c>
      <c r="X17" s="11">
        <v>2</v>
      </c>
      <c r="Y17" s="11">
        <v>2</v>
      </c>
      <c r="Z17" s="11">
        <v>2.5</v>
      </c>
    </row>
    <row r="18" spans="1:27" ht="15.75" thickBot="1" x14ac:dyDescent="0.3">
      <c r="A18" s="8">
        <v>45809</v>
      </c>
      <c r="B18" s="9">
        <v>4</v>
      </c>
      <c r="C18" s="9">
        <v>1.3</v>
      </c>
      <c r="D18" s="10">
        <v>0</v>
      </c>
      <c r="E18" s="10">
        <v>1</v>
      </c>
      <c r="F18" s="10">
        <v>0</v>
      </c>
      <c r="G18" s="10">
        <v>0</v>
      </c>
      <c r="H18" s="10">
        <v>1</v>
      </c>
      <c r="I18" s="10">
        <v>0</v>
      </c>
      <c r="J18" s="12">
        <v>1</v>
      </c>
      <c r="K18" s="13">
        <v>0</v>
      </c>
      <c r="L18" s="13">
        <v>0</v>
      </c>
      <c r="M18" s="13">
        <v>0</v>
      </c>
      <c r="N18" s="13">
        <v>0</v>
      </c>
      <c r="O18" s="13">
        <v>8</v>
      </c>
      <c r="P18" s="13">
        <v>1</v>
      </c>
      <c r="Q18" s="11">
        <v>1</v>
      </c>
      <c r="R18" s="11">
        <v>0</v>
      </c>
      <c r="S18" s="11">
        <v>0</v>
      </c>
      <c r="T18" s="11">
        <v>1</v>
      </c>
      <c r="U18" s="11">
        <v>3</v>
      </c>
      <c r="V18" s="11">
        <v>0</v>
      </c>
      <c r="W18" s="11">
        <v>0</v>
      </c>
      <c r="X18" s="11">
        <v>3</v>
      </c>
      <c r="Y18" s="11">
        <v>1.5</v>
      </c>
      <c r="Z18" s="11">
        <v>1</v>
      </c>
    </row>
    <row r="19" spans="1:27" ht="75.75" thickBot="1" x14ac:dyDescent="0.3">
      <c r="A19" s="8">
        <v>45839</v>
      </c>
      <c r="B19" s="9">
        <v>2</v>
      </c>
      <c r="C19" s="9">
        <v>2</v>
      </c>
      <c r="D19" s="12">
        <v>0</v>
      </c>
      <c r="E19" s="14">
        <v>2</v>
      </c>
      <c r="F19" s="15">
        <v>0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0</v>
      </c>
      <c r="P19" s="1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2">
        <v>2</v>
      </c>
      <c r="Z19" s="11">
        <v>0.5</v>
      </c>
      <c r="AA19" s="104" t="s">
        <v>141</v>
      </c>
    </row>
    <row r="20" spans="1:27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7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7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7" ht="15.75" thickBot="1" x14ac:dyDescent="0.3">
      <c r="B23" s="21">
        <f t="shared" ref="B23:N23" si="0">SUM(B8:B19)</f>
        <v>16</v>
      </c>
      <c r="C23" s="21">
        <f t="shared" si="0"/>
        <v>17.399999999999999</v>
      </c>
      <c r="D23" s="21">
        <f t="shared" si="0"/>
        <v>7.5</v>
      </c>
      <c r="E23" s="21">
        <f t="shared" si="0"/>
        <v>4</v>
      </c>
      <c r="F23" s="21">
        <f t="shared" si="0"/>
        <v>0</v>
      </c>
      <c r="G23" s="21">
        <f t="shared" si="0"/>
        <v>2</v>
      </c>
      <c r="H23" s="21">
        <f t="shared" si="0"/>
        <v>6</v>
      </c>
      <c r="I23" s="21">
        <f t="shared" si="0"/>
        <v>1</v>
      </c>
      <c r="J23" s="21">
        <f t="shared" si="0"/>
        <v>3</v>
      </c>
      <c r="K23" s="21">
        <f t="shared" si="0"/>
        <v>0</v>
      </c>
      <c r="L23" s="21">
        <f t="shared" si="0"/>
        <v>1</v>
      </c>
      <c r="M23" s="21">
        <f t="shared" si="0"/>
        <v>0</v>
      </c>
      <c r="N23" s="21">
        <f t="shared" si="0"/>
        <v>0</v>
      </c>
      <c r="O23" s="21"/>
      <c r="P23" s="21">
        <f t="shared" ref="P23:Z23" si="1">SUM(P8:P19)</f>
        <v>28</v>
      </c>
      <c r="Q23" s="21">
        <f t="shared" si="1"/>
        <v>32</v>
      </c>
      <c r="R23" s="21">
        <f t="shared" si="1"/>
        <v>17</v>
      </c>
      <c r="S23" s="21">
        <f t="shared" si="1"/>
        <v>1</v>
      </c>
      <c r="T23" s="21">
        <f t="shared" si="1"/>
        <v>14</v>
      </c>
      <c r="U23" s="21">
        <f t="shared" si="1"/>
        <v>6</v>
      </c>
      <c r="V23" s="21">
        <f t="shared" si="1"/>
        <v>0</v>
      </c>
      <c r="W23" s="21">
        <f t="shared" si="1"/>
        <v>0</v>
      </c>
      <c r="X23" s="21">
        <f t="shared" si="1"/>
        <v>6</v>
      </c>
      <c r="Y23" s="21">
        <f t="shared" si="1"/>
        <v>9.5</v>
      </c>
      <c r="Z23" s="21">
        <f t="shared" si="1"/>
        <v>4</v>
      </c>
    </row>
    <row r="24" spans="1:27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7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7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7.5</v>
      </c>
    </row>
    <row r="27" spans="1:27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2</v>
      </c>
      <c r="R27" s="22"/>
      <c r="S27" s="22"/>
      <c r="T27" s="22"/>
    </row>
    <row r="28" spans="1:27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7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0</v>
      </c>
    </row>
    <row r="30" spans="1:27" ht="15.75" thickBot="1" x14ac:dyDescent="0.3">
      <c r="M30" s="164" t="s">
        <v>145</v>
      </c>
      <c r="N30" s="165"/>
      <c r="O30" s="165"/>
      <c r="P30" s="166"/>
      <c r="Q30" s="17">
        <v>8</v>
      </c>
    </row>
    <row r="31" spans="1:27" ht="15.75" thickBot="1" x14ac:dyDescent="0.3">
      <c r="M31" s="164" t="s">
        <v>43</v>
      </c>
      <c r="N31" s="165"/>
      <c r="O31" s="165"/>
      <c r="P31" s="166"/>
      <c r="Q31" s="23">
        <v>4</v>
      </c>
    </row>
  </sheetData>
  <mergeCells count="32">
    <mergeCell ref="M30:P30"/>
    <mergeCell ref="M31:P31"/>
    <mergeCell ref="A29:D29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1:Z4"/>
    <mergeCell ref="A5:Z5"/>
    <mergeCell ref="A6:A7"/>
    <mergeCell ref="B6:B7"/>
    <mergeCell ref="D6:F6"/>
    <mergeCell ref="G6:H6"/>
    <mergeCell ref="I6:J6"/>
    <mergeCell ref="K6:N6"/>
    <mergeCell ref="O6:O7"/>
    <mergeCell ref="P6:P7"/>
    <mergeCell ref="Q6:T6"/>
    <mergeCell ref="U6:X6"/>
    <mergeCell ref="Y6:Y7"/>
    <mergeCell ref="Z6:Z7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69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43" t="s">
        <v>25</v>
      </c>
      <c r="O7" s="45" t="s">
        <v>70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10</v>
      </c>
      <c r="M15" s="13">
        <v>0</v>
      </c>
      <c r="N15" s="13">
        <v>23</v>
      </c>
      <c r="O15" s="13">
        <v>0</v>
      </c>
      <c r="P15" s="13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10">
        <v>0</v>
      </c>
      <c r="C16" s="10">
        <v>5.8</v>
      </c>
      <c r="D16" s="10">
        <v>3</v>
      </c>
      <c r="E16" s="10">
        <v>0</v>
      </c>
      <c r="F16" s="10">
        <v>1</v>
      </c>
      <c r="G16" s="10">
        <v>0</v>
      </c>
      <c r="H16" s="10">
        <v>7</v>
      </c>
      <c r="I16" s="10">
        <v>0</v>
      </c>
      <c r="J16" s="12">
        <v>0</v>
      </c>
      <c r="K16" s="13">
        <v>0</v>
      </c>
      <c r="L16" s="13">
        <v>23</v>
      </c>
      <c r="M16" s="13">
        <v>3</v>
      </c>
      <c r="N16" s="13">
        <v>18</v>
      </c>
      <c r="O16" s="13">
        <v>11</v>
      </c>
      <c r="P16" s="13">
        <v>7</v>
      </c>
      <c r="Q16" s="11">
        <v>3</v>
      </c>
      <c r="R16" s="11">
        <v>2</v>
      </c>
      <c r="S16" s="11">
        <v>0</v>
      </c>
      <c r="T16" s="11">
        <v>1</v>
      </c>
      <c r="U16" s="11">
        <v>1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</row>
    <row r="17" spans="1:26" ht="15.75" thickBot="1" x14ac:dyDescent="0.3">
      <c r="A17" s="8">
        <v>45778</v>
      </c>
      <c r="B17" s="10">
        <v>0</v>
      </c>
      <c r="C17" s="10">
        <v>6</v>
      </c>
      <c r="D17" s="10">
        <v>2</v>
      </c>
      <c r="E17" s="10">
        <v>1</v>
      </c>
      <c r="F17" s="10">
        <v>4</v>
      </c>
      <c r="G17" s="10">
        <v>2</v>
      </c>
      <c r="H17" s="10">
        <v>0</v>
      </c>
      <c r="I17" s="10">
        <v>0</v>
      </c>
      <c r="J17" s="12">
        <v>0</v>
      </c>
      <c r="K17" s="13">
        <v>0</v>
      </c>
      <c r="L17" s="13">
        <v>3</v>
      </c>
      <c r="M17" s="13">
        <v>3</v>
      </c>
      <c r="N17" s="13">
        <v>8</v>
      </c>
      <c r="O17" s="13">
        <v>15</v>
      </c>
      <c r="P17" s="13">
        <v>19</v>
      </c>
      <c r="Q17" s="11">
        <v>4</v>
      </c>
      <c r="R17" s="11">
        <v>3</v>
      </c>
      <c r="S17" s="11">
        <v>1</v>
      </c>
      <c r="T17" s="11">
        <v>0</v>
      </c>
      <c r="U17" s="11">
        <v>5</v>
      </c>
      <c r="V17" s="11">
        <v>0</v>
      </c>
      <c r="W17" s="11">
        <v>0</v>
      </c>
      <c r="X17" s="11">
        <v>5</v>
      </c>
      <c r="Y17" s="11">
        <v>0</v>
      </c>
      <c r="Z17" s="11">
        <v>0</v>
      </c>
    </row>
    <row r="18" spans="1:26" ht="15.75" thickBot="1" x14ac:dyDescent="0.3">
      <c r="A18" s="8">
        <v>45809</v>
      </c>
      <c r="B18" s="10">
        <v>4</v>
      </c>
      <c r="C18" s="10">
        <v>3</v>
      </c>
      <c r="D18" s="10">
        <v>0</v>
      </c>
      <c r="E18" s="10">
        <v>3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5</v>
      </c>
      <c r="P18" s="13">
        <v>1</v>
      </c>
      <c r="Q18" s="11">
        <v>2</v>
      </c>
      <c r="R18" s="11">
        <v>2</v>
      </c>
      <c r="S18" s="11">
        <v>0</v>
      </c>
      <c r="T18" s="11">
        <v>0</v>
      </c>
      <c r="U18" s="11">
        <v>3</v>
      </c>
      <c r="V18" s="11">
        <v>0</v>
      </c>
      <c r="W18" s="11">
        <v>0</v>
      </c>
      <c r="X18" s="11">
        <v>3</v>
      </c>
      <c r="Y18" s="11">
        <v>0</v>
      </c>
      <c r="Z18" s="11">
        <v>1</v>
      </c>
    </row>
    <row r="19" spans="1:26" ht="15.75" thickBot="1" x14ac:dyDescent="0.3">
      <c r="A19" s="8">
        <v>45839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2">
        <v>0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4</v>
      </c>
      <c r="C23" s="21">
        <f t="shared" si="0"/>
        <v>14.8</v>
      </c>
      <c r="D23" s="21">
        <f t="shared" si="0"/>
        <v>5</v>
      </c>
      <c r="E23" s="21">
        <f t="shared" si="0"/>
        <v>4</v>
      </c>
      <c r="F23" s="21">
        <f t="shared" si="0"/>
        <v>5</v>
      </c>
      <c r="G23" s="21">
        <f t="shared" si="0"/>
        <v>2</v>
      </c>
      <c r="H23" s="21">
        <f t="shared" si="0"/>
        <v>7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36</v>
      </c>
      <c r="M23" s="21">
        <f t="shared" si="0"/>
        <v>6</v>
      </c>
      <c r="N23" s="21">
        <f t="shared" si="0"/>
        <v>49</v>
      </c>
      <c r="O23" s="21"/>
      <c r="P23" s="21">
        <f t="shared" ref="P23:Z23" si="1">SUM(P8:P19)</f>
        <v>27</v>
      </c>
      <c r="Q23" s="21">
        <f t="shared" si="1"/>
        <v>9</v>
      </c>
      <c r="R23" s="21">
        <f t="shared" si="1"/>
        <v>7</v>
      </c>
      <c r="S23" s="21">
        <f t="shared" si="1"/>
        <v>1</v>
      </c>
      <c r="T23" s="21">
        <f t="shared" si="1"/>
        <v>1</v>
      </c>
      <c r="U23" s="21">
        <f t="shared" si="1"/>
        <v>9</v>
      </c>
      <c r="V23" s="21">
        <f t="shared" si="1"/>
        <v>0</v>
      </c>
      <c r="W23" s="21">
        <f t="shared" si="1"/>
        <v>0</v>
      </c>
      <c r="X23" s="21">
        <f t="shared" si="1"/>
        <v>8</v>
      </c>
      <c r="Y23" s="21">
        <f t="shared" si="1"/>
        <v>0</v>
      </c>
      <c r="Z23" s="21">
        <f t="shared" si="1"/>
        <v>1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4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5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9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0</v>
      </c>
    </row>
  </sheetData>
  <mergeCells count="31">
    <mergeCell ref="M31:P31"/>
    <mergeCell ref="M29:P29"/>
    <mergeCell ref="Q27:Q28"/>
    <mergeCell ref="M27:P28"/>
    <mergeCell ref="J27:K29"/>
    <mergeCell ref="M30:P30"/>
    <mergeCell ref="A27:D27"/>
    <mergeCell ref="E27:I29"/>
    <mergeCell ref="A28:D28"/>
    <mergeCell ref="A29:D29"/>
    <mergeCell ref="A24:P24"/>
    <mergeCell ref="A25:D25"/>
    <mergeCell ref="E25:I25"/>
    <mergeCell ref="J25:K25"/>
    <mergeCell ref="A26:D26"/>
    <mergeCell ref="E26:I26"/>
    <mergeCell ref="J26:K26"/>
    <mergeCell ref="M26:P26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62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63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5</v>
      </c>
      <c r="C8" s="9">
        <v>5</v>
      </c>
      <c r="D8" s="10">
        <v>5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5</v>
      </c>
      <c r="L8" s="10">
        <v>15</v>
      </c>
      <c r="M8" s="10">
        <v>5</v>
      </c>
      <c r="N8" s="10">
        <v>5</v>
      </c>
      <c r="O8" s="10">
        <v>9</v>
      </c>
      <c r="P8" s="10">
        <v>38</v>
      </c>
      <c r="Q8" s="10">
        <v>23</v>
      </c>
      <c r="R8" s="10">
        <v>16</v>
      </c>
      <c r="S8" s="11">
        <v>2</v>
      </c>
      <c r="T8" s="11">
        <v>5</v>
      </c>
      <c r="U8" s="11">
        <v>4</v>
      </c>
      <c r="V8" s="11">
        <v>0</v>
      </c>
      <c r="W8" s="11">
        <v>0</v>
      </c>
      <c r="X8" s="11">
        <v>4</v>
      </c>
      <c r="Y8" s="11">
        <v>0</v>
      </c>
      <c r="Z8" s="11">
        <v>0</v>
      </c>
    </row>
    <row r="9" spans="1:26" ht="15.75" thickBot="1" x14ac:dyDescent="0.3">
      <c r="A9" s="8">
        <v>45536</v>
      </c>
      <c r="B9" s="9">
        <v>6</v>
      </c>
      <c r="C9" s="9">
        <v>2</v>
      </c>
      <c r="D9" s="10">
        <v>2</v>
      </c>
      <c r="E9" s="10">
        <v>0</v>
      </c>
      <c r="F9" s="10">
        <v>0</v>
      </c>
      <c r="G9" s="11">
        <v>0</v>
      </c>
      <c r="H9" s="10">
        <v>3</v>
      </c>
      <c r="I9" s="10">
        <v>0</v>
      </c>
      <c r="J9" s="12">
        <v>4</v>
      </c>
      <c r="K9" s="13">
        <v>2</v>
      </c>
      <c r="L9" s="13">
        <v>6</v>
      </c>
      <c r="M9" s="13">
        <v>2</v>
      </c>
      <c r="N9" s="13">
        <v>2</v>
      </c>
      <c r="O9" s="13">
        <v>9</v>
      </c>
      <c r="P9" s="13">
        <v>21</v>
      </c>
      <c r="Q9" s="11">
        <v>17</v>
      </c>
      <c r="R9" s="11">
        <v>4</v>
      </c>
      <c r="S9" s="11">
        <v>4</v>
      </c>
      <c r="T9" s="11">
        <v>7</v>
      </c>
      <c r="U9" s="11">
        <v>6</v>
      </c>
      <c r="V9" s="11">
        <v>0</v>
      </c>
      <c r="W9" s="11">
        <v>0</v>
      </c>
      <c r="X9" s="11">
        <v>6</v>
      </c>
      <c r="Y9" s="11" t="s">
        <v>64</v>
      </c>
      <c r="Z9" s="11">
        <v>0.5</v>
      </c>
    </row>
    <row r="10" spans="1:26" ht="15.75" thickBot="1" x14ac:dyDescent="0.3">
      <c r="A10" s="8">
        <v>45566</v>
      </c>
      <c r="B10" s="9">
        <v>3</v>
      </c>
      <c r="C10" s="9">
        <v>2</v>
      </c>
      <c r="D10" s="10">
        <v>2</v>
      </c>
      <c r="E10" s="10">
        <v>0</v>
      </c>
      <c r="F10" s="10">
        <v>1</v>
      </c>
      <c r="G10" s="46">
        <v>2</v>
      </c>
      <c r="H10" s="10">
        <v>0</v>
      </c>
      <c r="I10" s="10">
        <v>0</v>
      </c>
      <c r="J10" s="12">
        <v>2</v>
      </c>
      <c r="K10" s="13">
        <v>2</v>
      </c>
      <c r="L10" s="13">
        <v>6</v>
      </c>
      <c r="M10" s="13">
        <v>2</v>
      </c>
      <c r="N10" s="13">
        <v>2</v>
      </c>
      <c r="O10" s="13">
        <v>9</v>
      </c>
      <c r="P10" s="13">
        <v>21</v>
      </c>
      <c r="Q10" s="11">
        <v>18</v>
      </c>
      <c r="R10" s="11">
        <v>6</v>
      </c>
      <c r="S10" s="11">
        <v>2</v>
      </c>
      <c r="T10" s="11">
        <v>10</v>
      </c>
      <c r="U10" s="11">
        <v>5</v>
      </c>
      <c r="V10" s="11">
        <v>0</v>
      </c>
      <c r="W10" s="11">
        <v>0</v>
      </c>
      <c r="X10" s="11">
        <v>5</v>
      </c>
      <c r="Y10" s="11" t="s">
        <v>65</v>
      </c>
      <c r="Z10" s="11">
        <v>3</v>
      </c>
    </row>
    <row r="11" spans="1:26" ht="15.75" thickBot="1" x14ac:dyDescent="0.3">
      <c r="A11" s="8">
        <v>45597</v>
      </c>
      <c r="B11" s="9">
        <v>6</v>
      </c>
      <c r="C11" s="9">
        <v>3.75</v>
      </c>
      <c r="D11" s="10">
        <v>3.75</v>
      </c>
      <c r="E11" s="10">
        <v>0</v>
      </c>
      <c r="F11" s="10">
        <v>0</v>
      </c>
      <c r="G11" s="10">
        <v>2</v>
      </c>
      <c r="H11" s="10">
        <v>0</v>
      </c>
      <c r="I11" s="10">
        <v>0</v>
      </c>
      <c r="J11" s="12">
        <v>0</v>
      </c>
      <c r="K11" s="13">
        <v>3</v>
      </c>
      <c r="L11" s="13">
        <v>9</v>
      </c>
      <c r="M11" s="13">
        <v>3</v>
      </c>
      <c r="N11" s="13">
        <v>3</v>
      </c>
      <c r="O11" s="13">
        <v>16</v>
      </c>
      <c r="P11" s="13">
        <v>44</v>
      </c>
      <c r="Q11" s="11">
        <v>27</v>
      </c>
      <c r="R11" s="11">
        <v>16</v>
      </c>
      <c r="S11" s="11">
        <v>5</v>
      </c>
      <c r="T11" s="11">
        <v>6</v>
      </c>
      <c r="U11" s="11">
        <v>15</v>
      </c>
      <c r="V11" s="11">
        <v>0</v>
      </c>
      <c r="W11" s="11">
        <v>0</v>
      </c>
      <c r="X11" s="11">
        <v>0</v>
      </c>
      <c r="Y11" s="11" t="s">
        <v>66</v>
      </c>
      <c r="Z11" s="11">
        <v>0</v>
      </c>
    </row>
    <row r="12" spans="1:26" ht="15.75" thickBot="1" x14ac:dyDescent="0.3">
      <c r="A12" s="8">
        <v>45627</v>
      </c>
      <c r="B12" s="9">
        <v>5</v>
      </c>
      <c r="C12" s="9">
        <v>3</v>
      </c>
      <c r="D12" s="10">
        <v>3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2">
        <v>0</v>
      </c>
      <c r="K12" s="13">
        <v>3</v>
      </c>
      <c r="L12" s="13">
        <v>9</v>
      </c>
      <c r="M12" s="13">
        <v>3</v>
      </c>
      <c r="N12" s="13">
        <v>3</v>
      </c>
      <c r="O12" s="13">
        <v>13</v>
      </c>
      <c r="P12" s="13">
        <v>27</v>
      </c>
      <c r="Q12" s="11">
        <v>24</v>
      </c>
      <c r="R12" s="11">
        <v>11</v>
      </c>
      <c r="S12" s="11">
        <v>10</v>
      </c>
      <c r="T12" s="11">
        <v>3</v>
      </c>
      <c r="U12" s="11">
        <v>0</v>
      </c>
      <c r="V12" s="11">
        <v>0</v>
      </c>
      <c r="W12" s="11">
        <v>0</v>
      </c>
      <c r="X12" s="11">
        <v>0</v>
      </c>
      <c r="Y12" s="11" t="s">
        <v>67</v>
      </c>
      <c r="Z12" s="11">
        <v>0</v>
      </c>
    </row>
    <row r="13" spans="1:26" ht="15.75" thickBot="1" x14ac:dyDescent="0.3">
      <c r="A13" s="8">
        <v>45658</v>
      </c>
      <c r="B13" s="9">
        <v>4</v>
      </c>
      <c r="C13" s="9">
        <v>2</v>
      </c>
      <c r="D13" s="10">
        <v>2</v>
      </c>
      <c r="E13" s="10">
        <v>0</v>
      </c>
      <c r="F13" s="10">
        <v>1</v>
      </c>
      <c r="G13" s="10">
        <v>5</v>
      </c>
      <c r="H13" s="10">
        <v>0</v>
      </c>
      <c r="I13" s="10">
        <v>0</v>
      </c>
      <c r="J13" s="12">
        <v>0</v>
      </c>
      <c r="K13" s="13">
        <v>2</v>
      </c>
      <c r="L13" s="13">
        <v>6</v>
      </c>
      <c r="M13" s="13">
        <v>2</v>
      </c>
      <c r="N13" s="13">
        <v>2</v>
      </c>
      <c r="O13" s="13">
        <v>15</v>
      </c>
      <c r="P13" s="13">
        <v>32</v>
      </c>
      <c r="Q13" s="11">
        <v>24</v>
      </c>
      <c r="R13" s="11">
        <v>20</v>
      </c>
      <c r="S13" s="11">
        <v>6</v>
      </c>
      <c r="T13" s="11">
        <v>4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</row>
    <row r="14" spans="1:26" ht="15.75" thickBot="1" x14ac:dyDescent="0.3">
      <c r="A14" s="8">
        <v>45689</v>
      </c>
      <c r="B14" s="9">
        <v>2</v>
      </c>
      <c r="C14" s="9">
        <v>5.5</v>
      </c>
      <c r="D14" s="10">
        <v>5.5</v>
      </c>
      <c r="E14" s="10">
        <v>0</v>
      </c>
      <c r="F14" s="10">
        <v>0</v>
      </c>
      <c r="G14" s="10">
        <v>4</v>
      </c>
      <c r="H14" s="10">
        <v>0</v>
      </c>
      <c r="I14" s="10">
        <v>0</v>
      </c>
      <c r="J14" s="12">
        <v>0</v>
      </c>
      <c r="K14" s="13">
        <v>5</v>
      </c>
      <c r="L14" s="13">
        <v>15</v>
      </c>
      <c r="M14" s="13">
        <v>5</v>
      </c>
      <c r="N14" s="13">
        <v>5</v>
      </c>
      <c r="O14" s="13">
        <v>6</v>
      </c>
      <c r="P14" s="13">
        <v>45</v>
      </c>
      <c r="Q14" s="11">
        <v>26</v>
      </c>
      <c r="R14" s="11">
        <v>18</v>
      </c>
      <c r="S14" s="11">
        <v>3</v>
      </c>
      <c r="T14" s="11">
        <v>5</v>
      </c>
      <c r="U14" s="11">
        <v>6</v>
      </c>
      <c r="V14" s="11">
        <v>0</v>
      </c>
      <c r="W14" s="11">
        <v>0</v>
      </c>
      <c r="X14" s="11">
        <v>0</v>
      </c>
      <c r="Y14" s="11">
        <v>0</v>
      </c>
      <c r="Z14" s="11">
        <v>2</v>
      </c>
    </row>
    <row r="15" spans="1:26" ht="15.75" thickBot="1" x14ac:dyDescent="0.3">
      <c r="A15" s="8">
        <v>45717</v>
      </c>
      <c r="B15" s="9">
        <v>5</v>
      </c>
      <c r="C15" s="9">
        <v>4</v>
      </c>
      <c r="D15" s="10">
        <v>0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2">
        <v>1</v>
      </c>
      <c r="K15" s="13">
        <v>4</v>
      </c>
      <c r="L15" s="13">
        <v>12</v>
      </c>
      <c r="M15" s="13">
        <v>4</v>
      </c>
      <c r="N15" s="13">
        <v>4</v>
      </c>
      <c r="O15" s="13">
        <v>42</v>
      </c>
      <c r="P15" s="13">
        <v>19</v>
      </c>
      <c r="Q15" s="11">
        <v>26</v>
      </c>
      <c r="R15" s="11">
        <v>9</v>
      </c>
      <c r="S15" s="11">
        <v>1</v>
      </c>
      <c r="T15" s="11">
        <v>16</v>
      </c>
      <c r="U15" s="11">
        <v>5</v>
      </c>
      <c r="V15" s="11">
        <v>0</v>
      </c>
      <c r="W15" s="11">
        <v>0</v>
      </c>
      <c r="X15" s="11">
        <v>0</v>
      </c>
      <c r="Y15" s="11" t="s">
        <v>68</v>
      </c>
      <c r="Z15" s="11">
        <v>1</v>
      </c>
    </row>
    <row r="16" spans="1:26" ht="15.75" thickBot="1" x14ac:dyDescent="0.3">
      <c r="A16" s="8">
        <v>45748</v>
      </c>
      <c r="B16" s="9">
        <v>9</v>
      </c>
      <c r="C16" s="9">
        <v>3</v>
      </c>
      <c r="D16" s="10">
        <v>3</v>
      </c>
      <c r="E16" s="10">
        <v>0</v>
      </c>
      <c r="F16" s="10">
        <v>2</v>
      </c>
      <c r="G16" s="10">
        <v>0</v>
      </c>
      <c r="H16" s="10">
        <v>16</v>
      </c>
      <c r="I16" s="10">
        <v>0</v>
      </c>
      <c r="J16" s="12">
        <v>0</v>
      </c>
      <c r="K16" s="13">
        <v>3</v>
      </c>
      <c r="L16" s="13">
        <v>9</v>
      </c>
      <c r="M16" s="13">
        <v>3</v>
      </c>
      <c r="N16" s="13">
        <v>3</v>
      </c>
      <c r="O16" s="13">
        <v>50</v>
      </c>
      <c r="P16" s="13">
        <v>11</v>
      </c>
      <c r="Q16" s="11">
        <v>13</v>
      </c>
      <c r="R16" s="11">
        <v>6</v>
      </c>
      <c r="S16" s="11">
        <v>0</v>
      </c>
      <c r="T16" s="11">
        <v>7</v>
      </c>
      <c r="U16" s="11">
        <v>11</v>
      </c>
      <c r="V16" s="11">
        <v>0</v>
      </c>
      <c r="W16" s="11">
        <v>0</v>
      </c>
      <c r="X16" s="11">
        <v>0</v>
      </c>
      <c r="Y16" s="11">
        <v>0</v>
      </c>
      <c r="Z16" s="11">
        <v>2</v>
      </c>
    </row>
    <row r="17" spans="1:27" ht="15.75" thickBot="1" x14ac:dyDescent="0.3">
      <c r="A17" s="8">
        <v>45778</v>
      </c>
      <c r="B17" s="9"/>
      <c r="C17" s="9"/>
      <c r="D17" s="10"/>
      <c r="E17" s="10"/>
      <c r="F17" s="10"/>
      <c r="G17" s="10"/>
      <c r="H17" s="10"/>
      <c r="I17" s="10"/>
      <c r="J17" s="12"/>
      <c r="K17" s="13"/>
      <c r="L17" s="13"/>
      <c r="M17" s="13"/>
      <c r="N17" s="13"/>
      <c r="O17" s="13"/>
      <c r="P17" s="13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7" ht="15.75" thickBot="1" x14ac:dyDescent="0.3">
      <c r="A18" s="8">
        <v>45809</v>
      </c>
      <c r="B18" s="9"/>
      <c r="C18" s="9"/>
      <c r="D18" s="10"/>
      <c r="E18" s="10"/>
      <c r="F18" s="10"/>
      <c r="G18" s="10"/>
      <c r="H18" s="10"/>
      <c r="I18" s="10"/>
      <c r="J18" s="12"/>
      <c r="K18" s="13"/>
      <c r="L18" s="13"/>
      <c r="M18" s="13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7" ht="45.75" thickBot="1" x14ac:dyDescent="0.3">
      <c r="A19" s="8">
        <v>45839</v>
      </c>
      <c r="B19" s="9">
        <v>8</v>
      </c>
      <c r="C19" s="9">
        <v>8</v>
      </c>
      <c r="D19" s="12">
        <v>1</v>
      </c>
      <c r="E19" s="14">
        <v>7</v>
      </c>
      <c r="F19" s="15">
        <v>0</v>
      </c>
      <c r="G19" s="10">
        <v>1</v>
      </c>
      <c r="H19" s="10">
        <v>0</v>
      </c>
      <c r="I19" s="10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16</v>
      </c>
      <c r="P19" s="10">
        <v>9</v>
      </c>
      <c r="Q19" s="10">
        <v>0</v>
      </c>
      <c r="R19" s="10">
        <v>0</v>
      </c>
      <c r="S19" s="10">
        <v>3</v>
      </c>
      <c r="T19" s="10">
        <v>5</v>
      </c>
      <c r="U19" s="10">
        <v>14</v>
      </c>
      <c r="V19" s="10">
        <v>0</v>
      </c>
      <c r="W19" s="10">
        <v>0</v>
      </c>
      <c r="X19" s="10">
        <v>14</v>
      </c>
      <c r="Y19" s="10" t="s">
        <v>142</v>
      </c>
      <c r="Z19" s="12">
        <v>0</v>
      </c>
      <c r="AA19" s="104" t="s">
        <v>143</v>
      </c>
    </row>
    <row r="20" spans="1:27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7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7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7" ht="15.75" thickBot="1" x14ac:dyDescent="0.3">
      <c r="B23" s="21">
        <f t="shared" ref="B23:N23" si="0">SUM(B8:B19)</f>
        <v>53</v>
      </c>
      <c r="C23" s="21">
        <f t="shared" si="0"/>
        <v>38.25</v>
      </c>
      <c r="D23" s="21">
        <f t="shared" si="0"/>
        <v>27.25</v>
      </c>
      <c r="E23" s="21">
        <f t="shared" si="0"/>
        <v>7</v>
      </c>
      <c r="F23" s="21">
        <f t="shared" si="0"/>
        <v>6</v>
      </c>
      <c r="G23" s="21">
        <f t="shared" si="0"/>
        <v>14</v>
      </c>
      <c r="H23" s="21">
        <f t="shared" si="0"/>
        <v>19</v>
      </c>
      <c r="I23" s="21">
        <f t="shared" si="0"/>
        <v>1</v>
      </c>
      <c r="J23" s="21">
        <f t="shared" si="0"/>
        <v>7</v>
      </c>
      <c r="K23" s="21">
        <f t="shared" si="0"/>
        <v>29</v>
      </c>
      <c r="L23" s="21">
        <f t="shared" si="0"/>
        <v>87</v>
      </c>
      <c r="M23" s="21">
        <f t="shared" si="0"/>
        <v>29</v>
      </c>
      <c r="N23" s="21">
        <f t="shared" si="0"/>
        <v>29</v>
      </c>
      <c r="O23" s="21"/>
      <c r="P23" s="21">
        <f t="shared" ref="P23:Z23" si="1">SUM(P8:P19)</f>
        <v>267</v>
      </c>
      <c r="Q23" s="21">
        <f t="shared" si="1"/>
        <v>198</v>
      </c>
      <c r="R23" s="21">
        <f t="shared" si="1"/>
        <v>106</v>
      </c>
      <c r="S23" s="21">
        <f t="shared" si="1"/>
        <v>36</v>
      </c>
      <c r="T23" s="21">
        <f t="shared" si="1"/>
        <v>68</v>
      </c>
      <c r="U23" s="21">
        <f t="shared" si="1"/>
        <v>66</v>
      </c>
      <c r="V23" s="21">
        <f t="shared" si="1"/>
        <v>0</v>
      </c>
      <c r="W23" s="21">
        <f t="shared" si="1"/>
        <v>0</v>
      </c>
      <c r="X23" s="21">
        <f t="shared" si="1"/>
        <v>29</v>
      </c>
      <c r="Y23" s="21">
        <f t="shared" si="1"/>
        <v>0</v>
      </c>
      <c r="Z23" s="21">
        <f t="shared" si="1"/>
        <v>8.5</v>
      </c>
    </row>
    <row r="24" spans="1:27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7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7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26.25</v>
      </c>
    </row>
    <row r="27" spans="1:27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0</v>
      </c>
      <c r="R27" s="22"/>
      <c r="S27" s="22"/>
      <c r="T27" s="22"/>
    </row>
    <row r="28" spans="1:27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7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6</v>
      </c>
    </row>
    <row r="30" spans="1:27" ht="15.75" thickBot="1" x14ac:dyDescent="0.3">
      <c r="M30" s="164" t="s">
        <v>145</v>
      </c>
      <c r="N30" s="165"/>
      <c r="O30" s="165"/>
      <c r="P30" s="166"/>
      <c r="Q30" s="12">
        <v>33</v>
      </c>
    </row>
    <row r="31" spans="1:27" ht="15.75" thickBot="1" x14ac:dyDescent="0.3">
      <c r="M31" s="164" t="s">
        <v>43</v>
      </c>
      <c r="N31" s="165"/>
      <c r="O31" s="165"/>
      <c r="P31" s="166"/>
      <c r="Q31" s="78">
        <v>7</v>
      </c>
    </row>
  </sheetData>
  <mergeCells count="31">
    <mergeCell ref="M31:P31"/>
    <mergeCell ref="M29:P29"/>
    <mergeCell ref="Q27:Q28"/>
    <mergeCell ref="M27:P28"/>
    <mergeCell ref="J27:K29"/>
    <mergeCell ref="M30:P30"/>
    <mergeCell ref="A1:Z4"/>
    <mergeCell ref="A5:Z5"/>
    <mergeCell ref="A6:A7"/>
    <mergeCell ref="B6:B7"/>
    <mergeCell ref="D6:F6"/>
    <mergeCell ref="U6:X6"/>
    <mergeCell ref="Y6:Y7"/>
    <mergeCell ref="Z6:Z7"/>
    <mergeCell ref="G6:H6"/>
    <mergeCell ref="I6:J6"/>
    <mergeCell ref="K6:N6"/>
    <mergeCell ref="P6:P7"/>
    <mergeCell ref="Q6:T6"/>
    <mergeCell ref="A27:D27"/>
    <mergeCell ref="E27:I29"/>
    <mergeCell ref="A28:D28"/>
    <mergeCell ref="A29:D29"/>
    <mergeCell ref="A24:P24"/>
    <mergeCell ref="A25:D25"/>
    <mergeCell ref="E25:I25"/>
    <mergeCell ref="J25:K25"/>
    <mergeCell ref="A26:D26"/>
    <mergeCell ref="E26:I26"/>
    <mergeCell ref="J26:K26"/>
    <mergeCell ref="M26:P2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sheetData>
    <row r="1" spans="1:26" x14ac:dyDescent="0.25">
      <c r="A1" s="131" t="s">
        <v>61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2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47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10">
        <v>4</v>
      </c>
      <c r="C8" s="10">
        <v>5</v>
      </c>
      <c r="D8" s="10">
        <v>3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1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19</v>
      </c>
      <c r="Q8" s="10">
        <v>12</v>
      </c>
      <c r="R8" s="10">
        <v>8</v>
      </c>
      <c r="S8" s="11">
        <v>1</v>
      </c>
      <c r="T8" s="11">
        <v>3</v>
      </c>
      <c r="U8" s="11">
        <v>2</v>
      </c>
      <c r="V8" s="10">
        <v>0</v>
      </c>
      <c r="W8" s="10">
        <v>0</v>
      </c>
      <c r="X8" s="11">
        <v>2</v>
      </c>
      <c r="Y8" s="10">
        <v>0</v>
      </c>
      <c r="Z8" s="11">
        <v>1.5</v>
      </c>
    </row>
    <row r="9" spans="1:26" ht="15.75" thickBot="1" x14ac:dyDescent="0.3">
      <c r="A9" s="8">
        <v>45536</v>
      </c>
      <c r="B9" s="10">
        <v>5</v>
      </c>
      <c r="C9" s="10">
        <v>4.3</v>
      </c>
      <c r="D9" s="10">
        <v>3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2">
        <v>0</v>
      </c>
      <c r="O9" s="13">
        <v>8</v>
      </c>
      <c r="P9" s="13">
        <v>23</v>
      </c>
      <c r="Q9" s="11">
        <v>9</v>
      </c>
      <c r="R9" s="11">
        <v>5</v>
      </c>
      <c r="S9" s="11">
        <v>2</v>
      </c>
      <c r="T9" s="11">
        <v>2</v>
      </c>
      <c r="U9" s="11">
        <v>5</v>
      </c>
      <c r="V9" s="10">
        <v>0</v>
      </c>
      <c r="W9" s="10">
        <v>0</v>
      </c>
      <c r="X9" s="11">
        <v>5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5</v>
      </c>
      <c r="C10" s="10">
        <v>3.3</v>
      </c>
      <c r="D10" s="10">
        <v>2</v>
      </c>
      <c r="E10" s="10">
        <v>0</v>
      </c>
      <c r="F10" s="10">
        <v>2</v>
      </c>
      <c r="G10" s="10">
        <v>0</v>
      </c>
      <c r="H10" s="10">
        <v>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2">
        <v>0</v>
      </c>
      <c r="O10" s="13">
        <v>6</v>
      </c>
      <c r="P10" s="13">
        <v>13</v>
      </c>
      <c r="Q10" s="11">
        <v>12</v>
      </c>
      <c r="R10" s="11">
        <v>2</v>
      </c>
      <c r="S10" s="11">
        <v>8</v>
      </c>
      <c r="T10" s="11">
        <v>2</v>
      </c>
      <c r="U10" s="11">
        <v>2</v>
      </c>
      <c r="V10" s="10">
        <v>0</v>
      </c>
      <c r="W10" s="10">
        <v>0</v>
      </c>
      <c r="X10" s="11">
        <v>2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3</v>
      </c>
      <c r="C11" s="10">
        <v>5.6</v>
      </c>
      <c r="D11" s="10">
        <v>2.5</v>
      </c>
      <c r="E11" s="10">
        <v>0</v>
      </c>
      <c r="F11" s="10">
        <v>5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2">
        <v>0</v>
      </c>
      <c r="O11" s="13">
        <v>6</v>
      </c>
      <c r="P11" s="13">
        <v>27</v>
      </c>
      <c r="Q11" s="11">
        <v>27</v>
      </c>
      <c r="R11" s="11">
        <v>22</v>
      </c>
      <c r="S11" s="11">
        <v>3</v>
      </c>
      <c r="T11" s="11">
        <v>2</v>
      </c>
      <c r="U11" s="11">
        <v>6</v>
      </c>
      <c r="V11" s="10">
        <v>0</v>
      </c>
      <c r="W11" s="10">
        <v>0</v>
      </c>
      <c r="X11" s="11">
        <v>6</v>
      </c>
      <c r="Y11" s="11">
        <v>2</v>
      </c>
      <c r="Z11" s="11">
        <v>1</v>
      </c>
    </row>
    <row r="12" spans="1:26" ht="15.75" thickBot="1" x14ac:dyDescent="0.3">
      <c r="A12" s="8">
        <v>45627</v>
      </c>
      <c r="B12" s="10">
        <v>5</v>
      </c>
      <c r="C12" s="10">
        <v>9</v>
      </c>
      <c r="D12" s="10">
        <v>1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2">
        <v>4</v>
      </c>
      <c r="K12" s="10">
        <v>0</v>
      </c>
      <c r="L12" s="10">
        <v>0</v>
      </c>
      <c r="M12" s="10">
        <v>0</v>
      </c>
      <c r="N12" s="12">
        <v>0</v>
      </c>
      <c r="O12" s="13">
        <v>11</v>
      </c>
      <c r="P12" s="13">
        <v>33</v>
      </c>
      <c r="Q12" s="11">
        <v>25</v>
      </c>
      <c r="R12" s="11">
        <v>10</v>
      </c>
      <c r="S12" s="11">
        <v>10</v>
      </c>
      <c r="T12" s="11">
        <v>5</v>
      </c>
      <c r="U12" s="11">
        <v>2</v>
      </c>
      <c r="V12" s="10">
        <v>0</v>
      </c>
      <c r="W12" s="10">
        <v>0</v>
      </c>
      <c r="X12" s="11">
        <v>2</v>
      </c>
      <c r="Y12" s="11">
        <v>2</v>
      </c>
      <c r="Z12" s="11">
        <v>3</v>
      </c>
    </row>
    <row r="13" spans="1:26" ht="15.75" thickBot="1" x14ac:dyDescent="0.3">
      <c r="A13" s="8">
        <v>45658</v>
      </c>
      <c r="B13" s="10">
        <v>4</v>
      </c>
      <c r="C13" s="10">
        <v>6.6</v>
      </c>
      <c r="D13" s="10">
        <v>1.5</v>
      </c>
      <c r="E13" s="10">
        <v>0</v>
      </c>
      <c r="F13" s="10">
        <v>7</v>
      </c>
      <c r="G13" s="10">
        <v>0</v>
      </c>
      <c r="H13" s="10">
        <v>5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2">
        <v>0</v>
      </c>
      <c r="O13" s="13">
        <v>8</v>
      </c>
      <c r="P13" s="13">
        <v>30</v>
      </c>
      <c r="Q13" s="11">
        <v>26</v>
      </c>
      <c r="R13" s="11">
        <v>19</v>
      </c>
      <c r="S13" s="11">
        <v>3</v>
      </c>
      <c r="T13" s="11">
        <v>4</v>
      </c>
      <c r="U13" s="11">
        <v>1</v>
      </c>
      <c r="V13" s="10">
        <v>0</v>
      </c>
      <c r="W13" s="10">
        <v>0</v>
      </c>
      <c r="X13" s="11">
        <v>1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2</v>
      </c>
      <c r="C14" s="10">
        <v>10.5</v>
      </c>
      <c r="D14" s="10">
        <v>7</v>
      </c>
      <c r="E14" s="10">
        <v>0</v>
      </c>
      <c r="F14" s="10">
        <v>7</v>
      </c>
      <c r="G14" s="10">
        <v>0</v>
      </c>
      <c r="H14" s="10">
        <v>2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2">
        <v>0</v>
      </c>
      <c r="O14" s="13">
        <v>17</v>
      </c>
      <c r="P14" s="13">
        <v>27</v>
      </c>
      <c r="Q14" s="11">
        <v>24</v>
      </c>
      <c r="R14" s="11">
        <v>13</v>
      </c>
      <c r="S14" s="11">
        <v>7</v>
      </c>
      <c r="T14" s="11">
        <v>5</v>
      </c>
      <c r="U14" s="11">
        <v>5</v>
      </c>
      <c r="V14" s="10">
        <v>0</v>
      </c>
      <c r="W14" s="10">
        <v>0</v>
      </c>
      <c r="X14" s="11">
        <v>5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3</v>
      </c>
      <c r="C15" s="10">
        <v>9</v>
      </c>
      <c r="D15" s="10">
        <v>5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2">
        <v>1</v>
      </c>
      <c r="K15" s="10">
        <v>0</v>
      </c>
      <c r="L15" s="10">
        <v>0</v>
      </c>
      <c r="M15" s="10">
        <v>0</v>
      </c>
      <c r="N15" s="12">
        <v>0</v>
      </c>
      <c r="O15" s="13">
        <v>38</v>
      </c>
      <c r="P15" s="13">
        <v>19</v>
      </c>
      <c r="Q15" s="11">
        <v>29</v>
      </c>
      <c r="R15" s="11">
        <v>12</v>
      </c>
      <c r="S15" s="11">
        <v>3</v>
      </c>
      <c r="T15" s="11">
        <v>14</v>
      </c>
      <c r="U15" s="11">
        <v>3</v>
      </c>
      <c r="V15" s="10">
        <v>0</v>
      </c>
      <c r="W15" s="10">
        <v>0</v>
      </c>
      <c r="X15" s="11">
        <v>3</v>
      </c>
      <c r="Y15" s="11">
        <v>2</v>
      </c>
      <c r="Z15" s="12">
        <v>0</v>
      </c>
    </row>
    <row r="16" spans="1:26" ht="15.75" thickBot="1" x14ac:dyDescent="0.3">
      <c r="A16" s="8">
        <v>45748</v>
      </c>
      <c r="B16" s="10">
        <v>5</v>
      </c>
      <c r="C16" s="10">
        <v>5.5</v>
      </c>
      <c r="D16" s="10">
        <v>4</v>
      </c>
      <c r="E16" s="10">
        <v>0</v>
      </c>
      <c r="F16" s="10">
        <v>3</v>
      </c>
      <c r="G16" s="10">
        <v>0</v>
      </c>
      <c r="H16" s="10">
        <v>19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2">
        <v>16</v>
      </c>
      <c r="O16" s="13">
        <v>40</v>
      </c>
      <c r="P16" s="13">
        <v>10</v>
      </c>
      <c r="Q16" s="11">
        <v>12</v>
      </c>
      <c r="R16" s="11">
        <v>6</v>
      </c>
      <c r="S16" s="11">
        <v>0</v>
      </c>
      <c r="T16" s="11">
        <v>6</v>
      </c>
      <c r="U16" s="11">
        <v>11</v>
      </c>
      <c r="V16" s="10">
        <v>0</v>
      </c>
      <c r="W16" s="10">
        <v>0</v>
      </c>
      <c r="X16" s="11">
        <v>11</v>
      </c>
      <c r="Y16" s="11">
        <v>1.5</v>
      </c>
      <c r="Z16" s="12">
        <v>0</v>
      </c>
    </row>
    <row r="17" spans="1:26" ht="15.75" thickBot="1" x14ac:dyDescent="0.3">
      <c r="A17" s="8">
        <v>45778</v>
      </c>
      <c r="B17" s="10">
        <v>3</v>
      </c>
      <c r="C17" s="10">
        <v>10.5</v>
      </c>
      <c r="D17" s="10">
        <v>10.5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2">
        <v>0</v>
      </c>
      <c r="L17" s="13">
        <v>20</v>
      </c>
      <c r="M17" s="10">
        <v>0</v>
      </c>
      <c r="N17" s="12">
        <v>20</v>
      </c>
      <c r="O17" s="13">
        <v>26</v>
      </c>
      <c r="P17" s="13">
        <v>22</v>
      </c>
      <c r="Q17" s="11">
        <v>2</v>
      </c>
      <c r="R17" s="11">
        <v>2</v>
      </c>
      <c r="S17" s="10">
        <v>0</v>
      </c>
      <c r="T17" s="10">
        <v>0</v>
      </c>
      <c r="U17" s="11">
        <v>20</v>
      </c>
      <c r="V17" s="10">
        <v>0</v>
      </c>
      <c r="W17" s="10">
        <v>0</v>
      </c>
      <c r="X17" s="11">
        <v>20</v>
      </c>
      <c r="Y17" s="10">
        <v>0</v>
      </c>
      <c r="Z17" s="11">
        <v>1</v>
      </c>
    </row>
    <row r="18" spans="1:26" ht="15.75" thickBot="1" x14ac:dyDescent="0.3">
      <c r="A18" s="8">
        <v>45809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2">
        <v>0</v>
      </c>
      <c r="O18" s="13">
        <v>4</v>
      </c>
      <c r="P18" s="13">
        <v>1</v>
      </c>
      <c r="Q18" s="11">
        <v>0</v>
      </c>
      <c r="R18" s="11">
        <v>0</v>
      </c>
      <c r="S18" s="11">
        <v>0</v>
      </c>
      <c r="T18" s="11">
        <v>0</v>
      </c>
      <c r="U18" s="11">
        <v>1</v>
      </c>
      <c r="V18" s="10">
        <v>0</v>
      </c>
      <c r="W18" s="10">
        <v>0</v>
      </c>
      <c r="X18" s="11">
        <v>1</v>
      </c>
      <c r="Y18" s="11"/>
      <c r="Z18" s="11"/>
    </row>
    <row r="19" spans="1:26" ht="15.75" thickBot="1" x14ac:dyDescent="0.3">
      <c r="A19" s="8">
        <v>45839</v>
      </c>
      <c r="B19" s="10"/>
      <c r="C19" s="10"/>
      <c r="D19" s="12"/>
      <c r="E19" s="107"/>
      <c r="F19" s="81"/>
      <c r="G19" s="10"/>
      <c r="H19" s="81"/>
      <c r="I19" s="10"/>
      <c r="J19" s="12"/>
      <c r="K19" s="81"/>
      <c r="L19" s="13"/>
      <c r="M19" s="13"/>
      <c r="N19" s="81"/>
      <c r="O19" s="78"/>
      <c r="P19" s="78"/>
      <c r="Q19" s="11"/>
      <c r="R19" s="11"/>
      <c r="S19" s="11"/>
      <c r="T19" s="11"/>
      <c r="U19" s="11"/>
      <c r="V19" s="11"/>
      <c r="W19" s="11"/>
      <c r="X19" s="11"/>
      <c r="Y19" s="17"/>
      <c r="Z19" s="11"/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39</v>
      </c>
      <c r="C23" s="21">
        <f t="shared" si="0"/>
        <v>69.300000000000011</v>
      </c>
      <c r="D23" s="21">
        <f t="shared" si="0"/>
        <v>39.5</v>
      </c>
      <c r="E23" s="21">
        <f t="shared" si="0"/>
        <v>1</v>
      </c>
      <c r="F23" s="21">
        <f t="shared" si="0"/>
        <v>38</v>
      </c>
      <c r="G23" s="21">
        <f t="shared" si="0"/>
        <v>0</v>
      </c>
      <c r="H23" s="21">
        <f t="shared" si="0"/>
        <v>30</v>
      </c>
      <c r="I23" s="21">
        <f t="shared" si="0"/>
        <v>1</v>
      </c>
      <c r="J23" s="21">
        <f t="shared" si="0"/>
        <v>6</v>
      </c>
      <c r="K23" s="21">
        <f t="shared" si="0"/>
        <v>0</v>
      </c>
      <c r="L23" s="21">
        <f t="shared" si="0"/>
        <v>20</v>
      </c>
      <c r="M23" s="21">
        <f t="shared" si="0"/>
        <v>0</v>
      </c>
      <c r="N23" s="21">
        <f t="shared" si="0"/>
        <v>36</v>
      </c>
      <c r="O23" s="21"/>
      <c r="P23" s="21">
        <f t="shared" ref="P23:Z23" si="1">SUM(P8:P19)</f>
        <v>224</v>
      </c>
      <c r="Q23" s="21">
        <f t="shared" si="1"/>
        <v>178</v>
      </c>
      <c r="R23" s="21">
        <f t="shared" si="1"/>
        <v>99</v>
      </c>
      <c r="S23" s="21">
        <f t="shared" si="1"/>
        <v>37</v>
      </c>
      <c r="T23" s="21">
        <f t="shared" si="1"/>
        <v>43</v>
      </c>
      <c r="U23" s="21">
        <f t="shared" si="1"/>
        <v>58</v>
      </c>
      <c r="V23" s="21">
        <f t="shared" si="1"/>
        <v>0</v>
      </c>
      <c r="W23" s="21">
        <f t="shared" si="1"/>
        <v>0</v>
      </c>
      <c r="X23" s="21">
        <f t="shared" si="1"/>
        <v>58</v>
      </c>
      <c r="Y23" s="21">
        <f t="shared" si="1"/>
        <v>7.5</v>
      </c>
      <c r="Z23" s="21">
        <f t="shared" si="1"/>
        <v>6.5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39.5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1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38</v>
      </c>
    </row>
    <row r="30" spans="1:26" ht="15.75" thickBot="1" x14ac:dyDescent="0.3">
      <c r="M30" s="164" t="s">
        <v>146</v>
      </c>
      <c r="N30" s="165"/>
      <c r="O30" s="165"/>
      <c r="P30" s="166"/>
      <c r="Q30" s="12">
        <v>30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7</v>
      </c>
    </row>
  </sheetData>
  <mergeCells count="31">
    <mergeCell ref="M30:P30"/>
    <mergeCell ref="M31:P31"/>
    <mergeCell ref="J25:K25"/>
    <mergeCell ref="A26:D26"/>
    <mergeCell ref="E26:I26"/>
    <mergeCell ref="J26:K26"/>
    <mergeCell ref="M26:P26"/>
    <mergeCell ref="A27:D27"/>
    <mergeCell ref="E27:I29"/>
    <mergeCell ref="A28:D28"/>
    <mergeCell ref="A29:D29"/>
    <mergeCell ref="Q27:Q28"/>
    <mergeCell ref="M27:P28"/>
    <mergeCell ref="J27:K29"/>
    <mergeCell ref="M29:P29"/>
    <mergeCell ref="U6:X6"/>
    <mergeCell ref="A24:P24"/>
    <mergeCell ref="A25:D25"/>
    <mergeCell ref="E25:I25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Y6:Y7"/>
    <mergeCell ref="Z6:Z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selection sqref="A1:Z4"/>
    </sheetView>
  </sheetViews>
  <sheetFormatPr defaultRowHeight="15" x14ac:dyDescent="0.25"/>
  <cols>
    <col min="11" max="11" width="11" bestFit="1" customWidth="1"/>
    <col min="27" max="27" width="34.7109375" bestFit="1" customWidth="1"/>
  </cols>
  <sheetData>
    <row r="1" spans="1:27" ht="20.25" x14ac:dyDescent="0.25">
      <c r="A1" s="131" t="s">
        <v>59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  <c r="AA1" s="86"/>
    </row>
    <row r="2" spans="1:27" ht="20.25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  <c r="AA2" s="86"/>
    </row>
    <row r="3" spans="1:27" ht="20.25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  <c r="AA3" s="86"/>
    </row>
    <row r="4" spans="1:27" ht="21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  <c r="AA4" s="86"/>
    </row>
    <row r="5" spans="1:27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  <c r="AA5" s="100"/>
    </row>
    <row r="6" spans="1:27" ht="15.75" thickBot="1" x14ac:dyDescent="0.3">
      <c r="A6" s="197" t="s">
        <v>1</v>
      </c>
      <c r="B6" s="145" t="s">
        <v>2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145" t="s">
        <v>70</v>
      </c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  <c r="AA6" s="101"/>
    </row>
    <row r="7" spans="1:27" ht="60.75" thickBot="1" x14ac:dyDescent="0.3">
      <c r="A7" s="198"/>
      <c r="B7" s="155"/>
      <c r="C7" s="124" t="s">
        <v>13</v>
      </c>
      <c r="D7" s="125" t="s">
        <v>14</v>
      </c>
      <c r="E7" s="125" t="s">
        <v>15</v>
      </c>
      <c r="F7" s="126" t="s">
        <v>16</v>
      </c>
      <c r="G7" s="88" t="s">
        <v>17</v>
      </c>
      <c r="H7" s="84" t="s">
        <v>18</v>
      </c>
      <c r="I7" s="84" t="s">
        <v>19</v>
      </c>
      <c r="J7" s="84" t="s">
        <v>20</v>
      </c>
      <c r="K7" s="85" t="s">
        <v>22</v>
      </c>
      <c r="L7" s="89" t="s">
        <v>23</v>
      </c>
      <c r="M7" s="85" t="s">
        <v>24</v>
      </c>
      <c r="N7" s="44" t="s">
        <v>25</v>
      </c>
      <c r="O7" s="155"/>
      <c r="P7" s="205"/>
      <c r="Q7" s="127" t="s">
        <v>26</v>
      </c>
      <c r="R7" s="128" t="s">
        <v>27</v>
      </c>
      <c r="S7" s="128" t="s">
        <v>28</v>
      </c>
      <c r="T7" s="128" t="s">
        <v>29</v>
      </c>
      <c r="U7" s="129" t="s">
        <v>30</v>
      </c>
      <c r="V7" s="129" t="s">
        <v>31</v>
      </c>
      <c r="W7" s="129" t="s">
        <v>32</v>
      </c>
      <c r="X7" s="130" t="s">
        <v>26</v>
      </c>
      <c r="Y7" s="155"/>
      <c r="Z7" s="155"/>
      <c r="AA7" s="3" t="s">
        <v>134</v>
      </c>
    </row>
    <row r="8" spans="1:27" ht="15.75" thickBot="1" x14ac:dyDescent="0.3">
      <c r="A8" s="87">
        <v>45505</v>
      </c>
      <c r="B8" s="82"/>
      <c r="C8" s="82"/>
      <c r="D8" s="90"/>
      <c r="E8" s="91"/>
      <c r="F8" s="90"/>
      <c r="G8" s="91"/>
      <c r="H8" s="90"/>
      <c r="I8" s="92"/>
      <c r="J8" s="90"/>
      <c r="K8" s="12"/>
      <c r="L8" s="18"/>
      <c r="M8" s="12"/>
      <c r="N8" s="12"/>
      <c r="O8" s="13"/>
      <c r="P8" s="13"/>
      <c r="Q8" s="19"/>
      <c r="R8" s="19"/>
      <c r="S8" s="19"/>
      <c r="T8" s="19"/>
      <c r="U8" s="19"/>
      <c r="V8" s="19"/>
      <c r="W8" s="19"/>
      <c r="X8" s="19"/>
      <c r="Y8" s="19"/>
      <c r="Z8" s="17"/>
      <c r="AA8" s="17"/>
    </row>
    <row r="9" spans="1:27" ht="15.75" thickBot="1" x14ac:dyDescent="0.3">
      <c r="A9" s="87">
        <v>45536</v>
      </c>
      <c r="B9" s="82"/>
      <c r="C9" s="82"/>
      <c r="D9" s="90"/>
      <c r="E9" s="91"/>
      <c r="F9" s="90"/>
      <c r="G9" s="91"/>
      <c r="H9" s="90"/>
      <c r="I9" s="92"/>
      <c r="J9" s="90"/>
      <c r="K9" s="12"/>
      <c r="L9" s="18"/>
      <c r="M9" s="12"/>
      <c r="N9" s="12"/>
      <c r="O9" s="13"/>
      <c r="P9" s="13"/>
      <c r="Q9" s="19"/>
      <c r="R9" s="19"/>
      <c r="S9" s="19"/>
      <c r="T9" s="19"/>
      <c r="U9" s="19"/>
      <c r="V9" s="19"/>
      <c r="W9" s="19"/>
      <c r="X9" s="19"/>
      <c r="Y9" s="19"/>
      <c r="Z9" s="17"/>
      <c r="AA9" s="17"/>
    </row>
    <row r="10" spans="1:27" ht="15.75" thickBot="1" x14ac:dyDescent="0.3">
      <c r="A10" s="87">
        <v>45566</v>
      </c>
      <c r="B10" s="82"/>
      <c r="C10" s="82"/>
      <c r="D10" s="90"/>
      <c r="E10" s="91"/>
      <c r="F10" s="90"/>
      <c r="G10" s="91"/>
      <c r="H10" s="90"/>
      <c r="I10" s="92"/>
      <c r="J10" s="90"/>
      <c r="K10" s="12"/>
      <c r="L10" s="18"/>
      <c r="M10" s="12"/>
      <c r="N10" s="12"/>
      <c r="O10" s="13"/>
      <c r="P10" s="13"/>
      <c r="Q10" s="19"/>
      <c r="R10" s="19"/>
      <c r="S10" s="19"/>
      <c r="T10" s="19"/>
      <c r="U10" s="19"/>
      <c r="V10" s="19"/>
      <c r="W10" s="19"/>
      <c r="X10" s="19"/>
      <c r="Y10" s="19"/>
      <c r="Z10" s="17"/>
      <c r="AA10" s="17"/>
    </row>
    <row r="11" spans="1:27" ht="15.75" thickBot="1" x14ac:dyDescent="0.3">
      <c r="A11" s="87">
        <v>45597</v>
      </c>
      <c r="B11" s="82"/>
      <c r="C11" s="82"/>
      <c r="D11" s="90"/>
      <c r="E11" s="91"/>
      <c r="F11" s="90"/>
      <c r="G11" s="91"/>
      <c r="H11" s="90"/>
      <c r="I11" s="92"/>
      <c r="J11" s="90"/>
      <c r="K11" s="12"/>
      <c r="L11" s="18"/>
      <c r="M11" s="12"/>
      <c r="N11" s="12"/>
      <c r="O11" s="13"/>
      <c r="P11" s="13"/>
      <c r="Q11" s="19"/>
      <c r="R11" s="19"/>
      <c r="S11" s="19"/>
      <c r="T11" s="19"/>
      <c r="U11" s="19"/>
      <c r="V11" s="19"/>
      <c r="W11" s="19"/>
      <c r="X11" s="19"/>
      <c r="Y11" s="19"/>
      <c r="Z11" s="17"/>
      <c r="AA11" s="17"/>
    </row>
    <row r="12" spans="1:27" ht="15.75" thickBot="1" x14ac:dyDescent="0.3">
      <c r="A12" s="87">
        <v>45627</v>
      </c>
      <c r="B12" s="82"/>
      <c r="C12" s="82"/>
      <c r="D12" s="90"/>
      <c r="E12" s="91"/>
      <c r="F12" s="90"/>
      <c r="G12" s="91"/>
      <c r="H12" s="90"/>
      <c r="I12" s="92"/>
      <c r="J12" s="90"/>
      <c r="K12" s="12"/>
      <c r="L12" s="18"/>
      <c r="M12" s="12"/>
      <c r="N12" s="12"/>
      <c r="O12" s="13"/>
      <c r="P12" s="13"/>
      <c r="Q12" s="19"/>
      <c r="R12" s="19"/>
      <c r="S12" s="19"/>
      <c r="T12" s="19"/>
      <c r="U12" s="19"/>
      <c r="V12" s="19"/>
      <c r="W12" s="19"/>
      <c r="X12" s="19"/>
      <c r="Y12" s="19"/>
      <c r="Z12" s="17"/>
      <c r="AA12" s="17"/>
    </row>
    <row r="13" spans="1:27" ht="15.75" thickBot="1" x14ac:dyDescent="0.3">
      <c r="A13" s="87">
        <v>45658</v>
      </c>
      <c r="B13" s="82"/>
      <c r="C13" s="82"/>
      <c r="D13" s="90"/>
      <c r="E13" s="91"/>
      <c r="F13" s="90"/>
      <c r="G13" s="91"/>
      <c r="H13" s="90"/>
      <c r="I13" s="92"/>
      <c r="J13" s="90"/>
      <c r="K13" s="12"/>
      <c r="L13" s="18"/>
      <c r="M13" s="12"/>
      <c r="N13" s="12"/>
      <c r="O13" s="13"/>
      <c r="P13" s="13"/>
      <c r="Q13" s="19"/>
      <c r="R13" s="19"/>
      <c r="S13" s="19"/>
      <c r="T13" s="19"/>
      <c r="U13" s="19"/>
      <c r="V13" s="19"/>
      <c r="W13" s="19"/>
      <c r="X13" s="19"/>
      <c r="Y13" s="19"/>
      <c r="Z13" s="17"/>
      <c r="AA13" s="17"/>
    </row>
    <row r="14" spans="1:27" s="14" customFormat="1" ht="15.75" thickBot="1" x14ac:dyDescent="0.3">
      <c r="A14" s="87">
        <v>45689</v>
      </c>
      <c r="B14" s="82">
        <v>0</v>
      </c>
      <c r="C14" s="82">
        <v>0.5</v>
      </c>
      <c r="D14" s="90">
        <v>0.5</v>
      </c>
      <c r="E14" s="91">
        <v>0</v>
      </c>
      <c r="F14" s="90">
        <v>0</v>
      </c>
      <c r="G14" s="91">
        <v>0</v>
      </c>
      <c r="H14" s="90">
        <v>0</v>
      </c>
      <c r="I14" s="92">
        <v>0</v>
      </c>
      <c r="J14" s="90">
        <v>0</v>
      </c>
      <c r="K14" s="12">
        <v>0</v>
      </c>
      <c r="L14" s="18">
        <v>0</v>
      </c>
      <c r="M14" s="12">
        <v>0</v>
      </c>
      <c r="N14" s="12">
        <v>0</v>
      </c>
      <c r="O14" s="13">
        <v>13</v>
      </c>
      <c r="P14" s="13">
        <v>10</v>
      </c>
      <c r="Q14" s="13">
        <v>13</v>
      </c>
      <c r="R14" s="13">
        <v>3</v>
      </c>
      <c r="S14" s="13">
        <v>3</v>
      </c>
      <c r="T14" s="13">
        <v>7</v>
      </c>
      <c r="U14" s="13">
        <v>9</v>
      </c>
      <c r="V14" s="13">
        <v>0</v>
      </c>
      <c r="W14" s="13">
        <v>0</v>
      </c>
      <c r="X14" s="13">
        <v>9</v>
      </c>
      <c r="Y14" s="13">
        <v>0</v>
      </c>
      <c r="Z14" s="12">
        <v>0</v>
      </c>
      <c r="AA14" s="17"/>
    </row>
    <row r="15" spans="1:27" s="14" customFormat="1" ht="15.75" thickBot="1" x14ac:dyDescent="0.3">
      <c r="A15" s="87">
        <v>45717</v>
      </c>
      <c r="B15" s="82">
        <v>1</v>
      </c>
      <c r="C15" s="82">
        <v>2.2999999999999998</v>
      </c>
      <c r="D15" s="90">
        <v>1</v>
      </c>
      <c r="E15" s="91">
        <v>0</v>
      </c>
      <c r="F15" s="90">
        <v>0</v>
      </c>
      <c r="G15" s="91">
        <v>0</v>
      </c>
      <c r="H15" s="90">
        <v>4</v>
      </c>
      <c r="I15" s="92">
        <v>0</v>
      </c>
      <c r="J15" s="90">
        <v>0</v>
      </c>
      <c r="K15" s="12">
        <v>0</v>
      </c>
      <c r="L15" s="18">
        <v>0</v>
      </c>
      <c r="M15" s="12">
        <v>0</v>
      </c>
      <c r="N15" s="12">
        <v>0</v>
      </c>
      <c r="O15" s="13">
        <v>33</v>
      </c>
      <c r="P15" s="13">
        <v>8</v>
      </c>
      <c r="Q15" s="13">
        <v>22</v>
      </c>
      <c r="R15" s="13">
        <v>15</v>
      </c>
      <c r="S15" s="13">
        <v>0</v>
      </c>
      <c r="T15" s="13">
        <v>7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2">
        <v>0</v>
      </c>
      <c r="AA15" s="17"/>
    </row>
    <row r="16" spans="1:27" s="14" customFormat="1" ht="15.75" thickBot="1" x14ac:dyDescent="0.3">
      <c r="A16" s="87">
        <v>45748</v>
      </c>
      <c r="B16" s="82">
        <v>1</v>
      </c>
      <c r="C16" s="82">
        <v>11</v>
      </c>
      <c r="D16" s="90">
        <v>6</v>
      </c>
      <c r="E16" s="91">
        <v>0</v>
      </c>
      <c r="F16" s="90">
        <v>2</v>
      </c>
      <c r="G16" s="91">
        <v>0</v>
      </c>
      <c r="H16" s="90">
        <v>12</v>
      </c>
      <c r="I16" s="92">
        <v>0</v>
      </c>
      <c r="J16" s="90">
        <v>0</v>
      </c>
      <c r="K16" s="12">
        <v>0</v>
      </c>
      <c r="L16" s="18">
        <v>21</v>
      </c>
      <c r="M16" s="12">
        <v>0</v>
      </c>
      <c r="N16" s="12">
        <v>24</v>
      </c>
      <c r="O16" s="13">
        <v>36</v>
      </c>
      <c r="P16" s="13">
        <v>12</v>
      </c>
      <c r="Q16" s="13">
        <v>10</v>
      </c>
      <c r="R16" s="13">
        <v>6</v>
      </c>
      <c r="S16" s="13">
        <v>0</v>
      </c>
      <c r="T16" s="13">
        <v>4</v>
      </c>
      <c r="U16" s="13">
        <v>3</v>
      </c>
      <c r="V16" s="13">
        <v>0</v>
      </c>
      <c r="W16" s="13">
        <v>0</v>
      </c>
      <c r="X16" s="13">
        <v>0</v>
      </c>
      <c r="Y16" s="13">
        <v>0</v>
      </c>
      <c r="Z16" s="12">
        <v>4</v>
      </c>
      <c r="AA16" s="17"/>
    </row>
    <row r="17" spans="1:27" s="14" customFormat="1" ht="15.75" thickBot="1" x14ac:dyDescent="0.3">
      <c r="A17" s="87">
        <v>45778</v>
      </c>
      <c r="B17" s="82">
        <v>4</v>
      </c>
      <c r="C17" s="82">
        <v>3.6</v>
      </c>
      <c r="D17" s="90">
        <v>1</v>
      </c>
      <c r="E17" s="91">
        <v>1</v>
      </c>
      <c r="F17" s="90">
        <v>2</v>
      </c>
      <c r="G17" s="91">
        <v>0</v>
      </c>
      <c r="H17" s="90">
        <v>2</v>
      </c>
      <c r="I17" s="92">
        <v>0</v>
      </c>
      <c r="J17" s="90">
        <v>0</v>
      </c>
      <c r="K17" s="12">
        <v>0</v>
      </c>
      <c r="L17" s="18">
        <v>2</v>
      </c>
      <c r="M17" s="12">
        <v>0</v>
      </c>
      <c r="N17" s="12">
        <v>12</v>
      </c>
      <c r="O17" s="13">
        <v>16</v>
      </c>
      <c r="P17" s="13">
        <v>25</v>
      </c>
      <c r="Q17" s="13">
        <v>7</v>
      </c>
      <c r="R17" s="13">
        <v>6</v>
      </c>
      <c r="S17" s="13">
        <v>1</v>
      </c>
      <c r="T17" s="13">
        <v>0</v>
      </c>
      <c r="U17" s="13">
        <v>7</v>
      </c>
      <c r="V17" s="13">
        <v>0</v>
      </c>
      <c r="W17" s="13">
        <v>0</v>
      </c>
      <c r="X17" s="13">
        <v>0</v>
      </c>
      <c r="Y17" s="13" t="s">
        <v>33</v>
      </c>
      <c r="Z17" s="12">
        <v>0</v>
      </c>
      <c r="AA17" s="17"/>
    </row>
    <row r="18" spans="1:27" s="14" customFormat="1" ht="15.75" thickBot="1" x14ac:dyDescent="0.3">
      <c r="A18" s="87">
        <v>45809</v>
      </c>
      <c r="B18" s="82">
        <v>5</v>
      </c>
      <c r="C18" s="82">
        <v>3</v>
      </c>
      <c r="D18" s="90">
        <v>0</v>
      </c>
      <c r="E18" s="91">
        <v>3</v>
      </c>
      <c r="F18" s="90">
        <v>0</v>
      </c>
      <c r="G18" s="91">
        <v>0</v>
      </c>
      <c r="H18" s="90">
        <v>0</v>
      </c>
      <c r="I18" s="92">
        <v>0</v>
      </c>
      <c r="J18" s="90">
        <v>0</v>
      </c>
      <c r="K18" s="12">
        <v>0</v>
      </c>
      <c r="L18" s="18">
        <v>0</v>
      </c>
      <c r="M18" s="12">
        <v>0</v>
      </c>
      <c r="N18" s="12">
        <v>0</v>
      </c>
      <c r="O18" s="13">
        <v>7</v>
      </c>
      <c r="P18" s="13">
        <v>5</v>
      </c>
      <c r="Q18" s="13">
        <v>2</v>
      </c>
      <c r="R18" s="13">
        <v>2</v>
      </c>
      <c r="S18" s="13">
        <v>0</v>
      </c>
      <c r="T18" s="13">
        <v>0</v>
      </c>
      <c r="U18" s="13">
        <v>6</v>
      </c>
      <c r="V18" s="13">
        <v>0</v>
      </c>
      <c r="W18" s="13">
        <v>0</v>
      </c>
      <c r="X18" s="13">
        <v>0</v>
      </c>
      <c r="Y18" s="13" t="s">
        <v>33</v>
      </c>
      <c r="Z18" s="12">
        <v>7.5</v>
      </c>
      <c r="AA18" s="17" t="s">
        <v>135</v>
      </c>
    </row>
    <row r="19" spans="1:27" s="14" customFormat="1" ht="15.75" thickBot="1" x14ac:dyDescent="0.3">
      <c r="A19" s="8">
        <v>45839</v>
      </c>
      <c r="B19" s="99">
        <v>6</v>
      </c>
      <c r="C19" s="99">
        <v>6</v>
      </c>
      <c r="D19" s="93">
        <v>0</v>
      </c>
      <c r="E19" s="94">
        <v>6</v>
      </c>
      <c r="F19" s="95">
        <v>0</v>
      </c>
      <c r="G19" s="96">
        <v>0</v>
      </c>
      <c r="H19" s="95">
        <v>0</v>
      </c>
      <c r="I19" s="96">
        <v>0</v>
      </c>
      <c r="J19" s="93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13</v>
      </c>
      <c r="P19" s="15">
        <v>7</v>
      </c>
      <c r="Q19" s="15">
        <v>10</v>
      </c>
      <c r="R19" s="15">
        <v>6</v>
      </c>
      <c r="S19" s="15">
        <v>3</v>
      </c>
      <c r="T19" s="15">
        <v>1</v>
      </c>
      <c r="U19" s="15">
        <v>8</v>
      </c>
      <c r="V19" s="15">
        <v>0</v>
      </c>
      <c r="W19" s="15">
        <v>0</v>
      </c>
      <c r="X19" s="15">
        <v>8</v>
      </c>
      <c r="Y19" s="15">
        <v>2</v>
      </c>
      <c r="Z19" s="15">
        <v>5</v>
      </c>
      <c r="AA19" s="17"/>
    </row>
    <row r="20" spans="1:27" s="14" customFormat="1" ht="15.75" thickBot="1" x14ac:dyDescent="0.3">
      <c r="A20" s="8"/>
      <c r="B20" s="82"/>
      <c r="C20" s="82"/>
      <c r="D20" s="90"/>
      <c r="E20" s="91"/>
      <c r="F20" s="90"/>
      <c r="G20" s="91"/>
      <c r="H20" s="90"/>
      <c r="I20" s="92"/>
      <c r="J20" s="90"/>
      <c r="K20" s="12"/>
      <c r="L20" s="18"/>
      <c r="M20" s="12"/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2"/>
      <c r="AA20" s="17"/>
    </row>
    <row r="21" spans="1:27" s="14" customFormat="1" ht="15.75" thickBot="1" x14ac:dyDescent="0.3">
      <c r="A21" s="8"/>
      <c r="B21" s="82"/>
      <c r="C21" s="82"/>
      <c r="D21" s="90"/>
      <c r="E21" s="91"/>
      <c r="F21" s="90"/>
      <c r="G21" s="91"/>
      <c r="H21" s="90"/>
      <c r="I21" s="91"/>
      <c r="J21" s="90"/>
      <c r="K21" s="12"/>
      <c r="L21" s="18"/>
      <c r="M21" s="12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2"/>
      <c r="AA21" s="17"/>
    </row>
    <row r="22" spans="1:27" s="14" customFormat="1" ht="15.75" thickBot="1" x14ac:dyDescent="0.3">
      <c r="A22" s="8"/>
      <c r="B22" s="82"/>
      <c r="C22" s="82"/>
      <c r="D22" s="97"/>
      <c r="E22" s="97"/>
      <c r="F22" s="97"/>
      <c r="G22" s="97"/>
      <c r="H22" s="97"/>
      <c r="I22" s="97"/>
      <c r="J22" s="97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17"/>
    </row>
    <row r="23" spans="1:27" ht="15.75" thickBot="1" x14ac:dyDescent="0.3">
      <c r="B23" s="21">
        <f t="shared" ref="B23:Z23" si="0">SUM(B8:B19)</f>
        <v>17</v>
      </c>
      <c r="C23" s="21">
        <f t="shared" si="0"/>
        <v>26.400000000000002</v>
      </c>
      <c r="D23" s="21">
        <f t="shared" si="0"/>
        <v>8.5</v>
      </c>
      <c r="E23" s="21">
        <f t="shared" si="0"/>
        <v>10</v>
      </c>
      <c r="F23" s="21">
        <f t="shared" si="0"/>
        <v>4</v>
      </c>
      <c r="G23" s="21">
        <f t="shared" si="0"/>
        <v>0</v>
      </c>
      <c r="H23" s="21">
        <f t="shared" si="0"/>
        <v>18</v>
      </c>
      <c r="I23" s="21">
        <f t="shared" si="0"/>
        <v>0</v>
      </c>
      <c r="J23" s="21">
        <f t="shared" si="0"/>
        <v>0</v>
      </c>
      <c r="K23" s="21">
        <f t="shared" si="0"/>
        <v>0</v>
      </c>
      <c r="L23" s="21">
        <f t="shared" si="0"/>
        <v>23</v>
      </c>
      <c r="M23" s="21">
        <f t="shared" si="0"/>
        <v>0</v>
      </c>
      <c r="N23" s="21">
        <f t="shared" si="0"/>
        <v>36</v>
      </c>
      <c r="O23" s="21">
        <f>SUM(O8:O21)</f>
        <v>118</v>
      </c>
      <c r="P23" s="21">
        <f t="shared" si="0"/>
        <v>67</v>
      </c>
      <c r="Q23" s="21">
        <f t="shared" si="0"/>
        <v>64</v>
      </c>
      <c r="R23" s="21">
        <f t="shared" si="0"/>
        <v>38</v>
      </c>
      <c r="S23" s="21">
        <f t="shared" si="0"/>
        <v>7</v>
      </c>
      <c r="T23" s="21">
        <f t="shared" si="0"/>
        <v>19</v>
      </c>
      <c r="U23" s="21">
        <f t="shared" si="0"/>
        <v>33</v>
      </c>
      <c r="V23" s="21">
        <f t="shared" si="0"/>
        <v>0</v>
      </c>
      <c r="W23" s="21">
        <f t="shared" si="0"/>
        <v>0</v>
      </c>
      <c r="X23" s="21">
        <f t="shared" si="0"/>
        <v>17</v>
      </c>
      <c r="Y23" s="21">
        <f t="shared" si="0"/>
        <v>2</v>
      </c>
      <c r="Z23" s="21">
        <f t="shared" si="0"/>
        <v>16.5</v>
      </c>
      <c r="AA23" s="102"/>
    </row>
    <row r="24" spans="1:27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7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7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8.5</v>
      </c>
    </row>
    <row r="27" spans="1:27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4</v>
      </c>
      <c r="R27" s="22"/>
      <c r="S27" s="22"/>
      <c r="T27" s="22"/>
    </row>
    <row r="28" spans="1:27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7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4</v>
      </c>
    </row>
    <row r="30" spans="1:27" ht="15.75" thickBot="1" x14ac:dyDescent="0.3">
      <c r="M30" s="164" t="s">
        <v>42</v>
      </c>
      <c r="N30" s="165"/>
      <c r="O30" s="165"/>
      <c r="P30" s="166"/>
      <c r="Q30" s="12">
        <v>18</v>
      </c>
    </row>
    <row r="31" spans="1:27" ht="15.75" thickBot="1" x14ac:dyDescent="0.3">
      <c r="M31" s="164" t="s">
        <v>43</v>
      </c>
      <c r="N31" s="165"/>
      <c r="O31" s="165"/>
      <c r="P31" s="166"/>
      <c r="Q31" s="78">
        <v>0</v>
      </c>
    </row>
  </sheetData>
  <mergeCells count="32">
    <mergeCell ref="Q27:Q28"/>
    <mergeCell ref="M27:P28"/>
    <mergeCell ref="J27:K29"/>
    <mergeCell ref="A26:D26"/>
    <mergeCell ref="E26:I26"/>
    <mergeCell ref="J26:K26"/>
    <mergeCell ref="M26:P26"/>
    <mergeCell ref="M29:P29"/>
    <mergeCell ref="Q6:T6"/>
    <mergeCell ref="U6:X6"/>
    <mergeCell ref="Y6:Y7"/>
    <mergeCell ref="Z6:Z7"/>
    <mergeCell ref="A25:D25"/>
    <mergeCell ref="E25:I25"/>
    <mergeCell ref="J25:K25"/>
    <mergeCell ref="O6:O7"/>
    <mergeCell ref="M30:P30"/>
    <mergeCell ref="M31:P31"/>
    <mergeCell ref="A1:Z4"/>
    <mergeCell ref="A5:Z5"/>
    <mergeCell ref="A6:A7"/>
    <mergeCell ref="B6:B7"/>
    <mergeCell ref="D6:F6"/>
    <mergeCell ref="G6:H6"/>
    <mergeCell ref="I6:J6"/>
    <mergeCell ref="K6:N6"/>
    <mergeCell ref="A27:D27"/>
    <mergeCell ref="E27:I29"/>
    <mergeCell ref="A28:D28"/>
    <mergeCell ref="A29:D29"/>
    <mergeCell ref="A24:P24"/>
    <mergeCell ref="P6:P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cols>
    <col min="11" max="11" width="11" bestFit="1" customWidth="1"/>
  </cols>
  <sheetData>
    <row r="1" spans="1:26" x14ac:dyDescent="0.25">
      <c r="A1" s="131" t="s">
        <v>76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2</v>
      </c>
      <c r="C6" s="1"/>
      <c r="D6" s="147" t="s">
        <v>3</v>
      </c>
      <c r="E6" s="148"/>
      <c r="F6" s="149"/>
      <c r="G6" s="206" t="s">
        <v>4</v>
      </c>
      <c r="H6" s="207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77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4</v>
      </c>
      <c r="C8" s="9">
        <v>4</v>
      </c>
      <c r="D8" s="10">
        <v>2</v>
      </c>
      <c r="E8" s="10">
        <v>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4</v>
      </c>
      <c r="P8" s="10">
        <v>11</v>
      </c>
      <c r="Q8" s="10">
        <f>SUM(R8+S8+T8)</f>
        <v>10</v>
      </c>
      <c r="R8" s="10">
        <v>2</v>
      </c>
      <c r="S8" s="11">
        <v>1</v>
      </c>
      <c r="T8" s="11">
        <v>7</v>
      </c>
      <c r="U8" s="11">
        <v>3</v>
      </c>
      <c r="V8" s="11">
        <v>0</v>
      </c>
      <c r="W8" s="11">
        <v>0</v>
      </c>
      <c r="X8" s="11">
        <v>3</v>
      </c>
      <c r="Y8" s="11">
        <v>2</v>
      </c>
      <c r="Z8" s="11">
        <v>0.5</v>
      </c>
    </row>
    <row r="9" spans="1:26" ht="15.75" thickBot="1" x14ac:dyDescent="0.3">
      <c r="A9" s="8">
        <v>45536</v>
      </c>
      <c r="B9" s="9">
        <v>3</v>
      </c>
      <c r="C9" s="9">
        <v>2</v>
      </c>
      <c r="D9" s="10">
        <v>2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2">
        <v>0</v>
      </c>
      <c r="K9" s="13">
        <v>0</v>
      </c>
      <c r="L9" s="13">
        <v>0</v>
      </c>
      <c r="M9" s="13">
        <v>0</v>
      </c>
      <c r="N9" s="13">
        <v>0</v>
      </c>
      <c r="O9" s="13">
        <v>2</v>
      </c>
      <c r="P9" s="13">
        <v>11</v>
      </c>
      <c r="Q9" s="10">
        <f t="shared" ref="Q9:Q19" si="0">SUM(R9+S9+T9)</f>
        <v>10</v>
      </c>
      <c r="R9" s="11">
        <v>2</v>
      </c>
      <c r="S9" s="11">
        <v>1</v>
      </c>
      <c r="T9" s="11">
        <v>7</v>
      </c>
      <c r="U9" s="11">
        <v>2</v>
      </c>
      <c r="V9" s="11">
        <v>0</v>
      </c>
      <c r="W9" s="11">
        <v>0</v>
      </c>
      <c r="X9" s="11">
        <v>2</v>
      </c>
      <c r="Y9" s="11">
        <v>2</v>
      </c>
      <c r="Z9" s="11">
        <v>0</v>
      </c>
    </row>
    <row r="10" spans="1:26" ht="15.75" thickBot="1" x14ac:dyDescent="0.3">
      <c r="A10" s="8">
        <v>45566</v>
      </c>
      <c r="B10" s="9">
        <v>2</v>
      </c>
      <c r="C10" s="9">
        <v>2</v>
      </c>
      <c r="D10" s="10">
        <v>2</v>
      </c>
      <c r="E10" s="10">
        <v>0</v>
      </c>
      <c r="F10" s="10">
        <v>0</v>
      </c>
      <c r="G10" s="46">
        <v>0</v>
      </c>
      <c r="H10" s="10">
        <v>0</v>
      </c>
      <c r="I10" s="10">
        <v>0</v>
      </c>
      <c r="J10" s="12">
        <v>0</v>
      </c>
      <c r="K10" s="13">
        <v>0</v>
      </c>
      <c r="L10" s="13">
        <v>0</v>
      </c>
      <c r="M10" s="13">
        <v>0</v>
      </c>
      <c r="N10" s="13">
        <v>0</v>
      </c>
      <c r="O10" s="13">
        <v>5</v>
      </c>
      <c r="P10" s="13">
        <v>16</v>
      </c>
      <c r="Q10" s="10">
        <f t="shared" si="0"/>
        <v>14</v>
      </c>
      <c r="R10" s="11">
        <v>2</v>
      </c>
      <c r="S10" s="11">
        <v>3</v>
      </c>
      <c r="T10" s="11">
        <v>9</v>
      </c>
      <c r="U10" s="11">
        <v>5</v>
      </c>
      <c r="V10" s="11">
        <v>0</v>
      </c>
      <c r="W10" s="11">
        <v>0</v>
      </c>
      <c r="X10" s="11">
        <v>5</v>
      </c>
      <c r="Y10" s="11" t="s">
        <v>78</v>
      </c>
      <c r="Z10" s="11">
        <v>0</v>
      </c>
    </row>
    <row r="11" spans="1:26" ht="15.75" thickBot="1" x14ac:dyDescent="0.3">
      <c r="A11" s="8">
        <v>45597</v>
      </c>
      <c r="B11" s="9">
        <v>5</v>
      </c>
      <c r="C11" s="9">
        <v>3.3</v>
      </c>
      <c r="D11" s="10">
        <v>3</v>
      </c>
      <c r="E11" s="10">
        <v>0</v>
      </c>
      <c r="F11" s="10">
        <v>0</v>
      </c>
      <c r="G11" s="10">
        <v>0</v>
      </c>
      <c r="H11" s="10">
        <v>1</v>
      </c>
      <c r="I11" s="10">
        <v>0</v>
      </c>
      <c r="J11" s="12">
        <v>1</v>
      </c>
      <c r="K11" s="13">
        <v>0</v>
      </c>
      <c r="L11" s="13">
        <v>0</v>
      </c>
      <c r="M11" s="13">
        <v>0</v>
      </c>
      <c r="N11" s="13">
        <v>0</v>
      </c>
      <c r="O11" s="13">
        <v>8</v>
      </c>
      <c r="P11" s="13">
        <v>26</v>
      </c>
      <c r="Q11" s="10">
        <f t="shared" si="0"/>
        <v>12</v>
      </c>
      <c r="R11" s="11">
        <v>3</v>
      </c>
      <c r="S11" s="11">
        <v>3</v>
      </c>
      <c r="T11" s="11">
        <v>6</v>
      </c>
      <c r="U11" s="11">
        <v>8</v>
      </c>
      <c r="V11" s="11">
        <v>0</v>
      </c>
      <c r="W11" s="11">
        <v>0</v>
      </c>
      <c r="X11" s="11">
        <v>8</v>
      </c>
      <c r="Y11" s="11">
        <v>1</v>
      </c>
      <c r="Z11" s="11">
        <v>1</v>
      </c>
    </row>
    <row r="12" spans="1:26" ht="15.75" thickBot="1" x14ac:dyDescent="0.3">
      <c r="A12" s="8">
        <v>45627</v>
      </c>
      <c r="B12" s="9">
        <v>4</v>
      </c>
      <c r="C12" s="9">
        <v>6</v>
      </c>
      <c r="D12" s="10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18</v>
      </c>
      <c r="P12" s="13">
        <v>33</v>
      </c>
      <c r="Q12" s="10">
        <f t="shared" si="0"/>
        <v>21</v>
      </c>
      <c r="R12" s="11">
        <v>9</v>
      </c>
      <c r="S12" s="11">
        <v>1</v>
      </c>
      <c r="T12" s="11">
        <v>11</v>
      </c>
      <c r="U12" s="11">
        <v>2</v>
      </c>
      <c r="V12" s="11">
        <v>0</v>
      </c>
      <c r="W12" s="11">
        <v>0</v>
      </c>
      <c r="X12" s="11">
        <v>2</v>
      </c>
      <c r="Y12" s="11" t="s">
        <v>79</v>
      </c>
      <c r="Z12" s="11">
        <v>0</v>
      </c>
    </row>
    <row r="13" spans="1:26" ht="15.75" thickBot="1" x14ac:dyDescent="0.3">
      <c r="A13" s="8">
        <v>45658</v>
      </c>
      <c r="B13" s="9">
        <v>2</v>
      </c>
      <c r="C13" s="9">
        <v>3</v>
      </c>
      <c r="D13" s="10">
        <v>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11</v>
      </c>
      <c r="P13" s="13">
        <v>30</v>
      </c>
      <c r="Q13" s="10">
        <f t="shared" si="0"/>
        <v>15</v>
      </c>
      <c r="R13" s="11">
        <v>3</v>
      </c>
      <c r="S13" s="11">
        <v>1</v>
      </c>
      <c r="T13" s="11">
        <v>11</v>
      </c>
      <c r="U13" s="11">
        <v>0</v>
      </c>
      <c r="V13" s="11">
        <v>0</v>
      </c>
      <c r="W13" s="11">
        <v>0</v>
      </c>
      <c r="X13" s="11">
        <v>0</v>
      </c>
      <c r="Y13" s="11">
        <v>2</v>
      </c>
      <c r="Z13" s="11">
        <v>2</v>
      </c>
    </row>
    <row r="14" spans="1:26" ht="15.75" thickBot="1" x14ac:dyDescent="0.3">
      <c r="A14" s="8">
        <v>45689</v>
      </c>
      <c r="B14" s="9">
        <v>4</v>
      </c>
      <c r="C14" s="9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2">
        <v>0</v>
      </c>
      <c r="K14" s="13">
        <v>0</v>
      </c>
      <c r="L14" s="13">
        <v>0</v>
      </c>
      <c r="M14" s="13">
        <v>0</v>
      </c>
      <c r="N14" s="13">
        <v>0</v>
      </c>
      <c r="O14" s="13">
        <v>20</v>
      </c>
      <c r="P14" s="13">
        <v>34</v>
      </c>
      <c r="Q14" s="10">
        <f t="shared" si="0"/>
        <v>15</v>
      </c>
      <c r="R14" s="11">
        <v>6</v>
      </c>
      <c r="S14" s="11">
        <v>2</v>
      </c>
      <c r="T14" s="11">
        <v>7</v>
      </c>
      <c r="U14" s="11">
        <v>4</v>
      </c>
      <c r="V14" s="11">
        <v>0</v>
      </c>
      <c r="W14" s="11">
        <v>0</v>
      </c>
      <c r="X14" s="11">
        <v>4</v>
      </c>
      <c r="Y14" s="11">
        <v>0</v>
      </c>
      <c r="Z14" s="11">
        <v>0</v>
      </c>
    </row>
    <row r="15" spans="1:26" ht="15.75" thickBot="1" x14ac:dyDescent="0.3">
      <c r="A15" s="8">
        <v>45717</v>
      </c>
      <c r="B15" s="9">
        <v>5</v>
      </c>
      <c r="C15" s="9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0</v>
      </c>
      <c r="K15" s="13">
        <v>0</v>
      </c>
      <c r="L15" s="13">
        <v>0</v>
      </c>
      <c r="M15" s="13">
        <v>0</v>
      </c>
      <c r="N15" s="13">
        <v>0</v>
      </c>
      <c r="O15" s="13">
        <v>6</v>
      </c>
      <c r="P15" s="13">
        <v>5</v>
      </c>
      <c r="Q15" s="10">
        <f t="shared" si="0"/>
        <v>13</v>
      </c>
      <c r="R15" s="11">
        <v>1</v>
      </c>
      <c r="S15" s="11">
        <v>0</v>
      </c>
      <c r="T15" s="11">
        <v>12</v>
      </c>
      <c r="U15" s="11">
        <v>0</v>
      </c>
      <c r="V15" s="11">
        <v>0</v>
      </c>
      <c r="W15" s="11">
        <v>0</v>
      </c>
      <c r="X15" s="11">
        <v>0</v>
      </c>
      <c r="Y15" s="11" t="s">
        <v>80</v>
      </c>
      <c r="Z15" s="11">
        <v>0.5</v>
      </c>
    </row>
    <row r="16" spans="1:26" ht="15.75" thickBot="1" x14ac:dyDescent="0.3">
      <c r="A16" s="8">
        <v>45748</v>
      </c>
      <c r="B16" s="9">
        <v>4</v>
      </c>
      <c r="C16" s="9">
        <v>11.3</v>
      </c>
      <c r="D16" s="10">
        <v>6</v>
      </c>
      <c r="E16" s="10">
        <v>0</v>
      </c>
      <c r="F16" s="10">
        <v>6</v>
      </c>
      <c r="G16" s="10">
        <v>0</v>
      </c>
      <c r="H16" s="10">
        <v>7</v>
      </c>
      <c r="I16" s="10">
        <v>0</v>
      </c>
      <c r="J16" s="12">
        <v>0</v>
      </c>
      <c r="K16" s="13">
        <v>0</v>
      </c>
      <c r="L16" s="13">
        <v>0</v>
      </c>
      <c r="M16" s="13">
        <v>0</v>
      </c>
      <c r="N16" s="13">
        <v>0</v>
      </c>
      <c r="O16" s="13">
        <v>43</v>
      </c>
      <c r="P16" s="13">
        <v>7</v>
      </c>
      <c r="Q16" s="10">
        <f t="shared" si="0"/>
        <v>8</v>
      </c>
      <c r="R16" s="11">
        <v>1</v>
      </c>
      <c r="S16" s="11">
        <v>2</v>
      </c>
      <c r="T16" s="11">
        <v>5</v>
      </c>
      <c r="U16" s="11">
        <v>3</v>
      </c>
      <c r="V16" s="11">
        <v>0</v>
      </c>
      <c r="W16" s="11">
        <v>0</v>
      </c>
      <c r="X16" s="11">
        <v>3</v>
      </c>
      <c r="Y16" s="11" t="s">
        <v>80</v>
      </c>
      <c r="Z16" s="11">
        <v>1.5</v>
      </c>
    </row>
    <row r="17" spans="1:26" ht="15.75" thickBot="1" x14ac:dyDescent="0.3">
      <c r="A17" s="8">
        <v>45778</v>
      </c>
      <c r="B17" s="9">
        <v>3</v>
      </c>
      <c r="C17" s="9">
        <v>5.5</v>
      </c>
      <c r="D17" s="10">
        <v>5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2">
        <v>0</v>
      </c>
      <c r="K17" s="13">
        <v>0</v>
      </c>
      <c r="L17" s="13">
        <v>0</v>
      </c>
      <c r="M17" s="13">
        <v>0</v>
      </c>
      <c r="N17" s="13">
        <v>2</v>
      </c>
      <c r="O17" s="13">
        <v>10</v>
      </c>
      <c r="P17" s="13">
        <v>13</v>
      </c>
      <c r="Q17" s="10">
        <f t="shared" si="0"/>
        <v>7</v>
      </c>
      <c r="R17" s="11">
        <v>1</v>
      </c>
      <c r="S17" s="11">
        <v>1</v>
      </c>
      <c r="T17" s="11">
        <v>5</v>
      </c>
      <c r="U17" s="11">
        <v>4</v>
      </c>
      <c r="V17" s="11">
        <v>0</v>
      </c>
      <c r="W17" s="11">
        <v>0</v>
      </c>
      <c r="X17" s="11">
        <v>4</v>
      </c>
      <c r="Y17" s="11" t="s">
        <v>80</v>
      </c>
      <c r="Z17" s="11">
        <v>3</v>
      </c>
    </row>
    <row r="18" spans="1:26" ht="15.75" thickBot="1" x14ac:dyDescent="0.3">
      <c r="A18" s="8">
        <v>45809</v>
      </c>
      <c r="B18" s="9">
        <v>4</v>
      </c>
      <c r="C18" s="9">
        <v>4</v>
      </c>
      <c r="D18" s="10">
        <v>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3">
        <v>0</v>
      </c>
      <c r="L18" s="13">
        <v>0</v>
      </c>
      <c r="M18" s="13">
        <v>0</v>
      </c>
      <c r="N18" s="13">
        <v>0</v>
      </c>
      <c r="O18" s="13">
        <v>9</v>
      </c>
      <c r="P18" s="13">
        <v>2</v>
      </c>
      <c r="Q18" s="10">
        <f t="shared" si="0"/>
        <v>4</v>
      </c>
      <c r="R18" s="11">
        <v>2</v>
      </c>
      <c r="S18" s="11">
        <v>0</v>
      </c>
      <c r="T18" s="11">
        <v>2</v>
      </c>
      <c r="U18" s="11">
        <v>1</v>
      </c>
      <c r="V18" s="11">
        <v>0</v>
      </c>
      <c r="W18" s="11">
        <v>0</v>
      </c>
      <c r="X18" s="11">
        <v>1</v>
      </c>
      <c r="Y18" s="11" t="s">
        <v>80</v>
      </c>
      <c r="Z18" s="11">
        <v>2.5</v>
      </c>
    </row>
    <row r="19" spans="1:26" ht="15.75" thickBot="1" x14ac:dyDescent="0.3">
      <c r="A19" s="8">
        <v>45839</v>
      </c>
      <c r="B19" s="9">
        <v>2</v>
      </c>
      <c r="C19" s="9">
        <v>3.25</v>
      </c>
      <c r="D19" s="12">
        <v>1</v>
      </c>
      <c r="E19" s="14">
        <v>2</v>
      </c>
      <c r="F19" s="15">
        <v>0.25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1</v>
      </c>
      <c r="P19" s="16">
        <v>1</v>
      </c>
      <c r="Q19" s="10">
        <f t="shared" si="0"/>
        <v>1</v>
      </c>
      <c r="R19" s="11">
        <v>1</v>
      </c>
      <c r="S19" s="11">
        <v>0</v>
      </c>
      <c r="T19" s="11">
        <v>0</v>
      </c>
      <c r="U19" s="11">
        <v>1</v>
      </c>
      <c r="V19" s="11">
        <v>0</v>
      </c>
      <c r="W19" s="11">
        <v>0</v>
      </c>
      <c r="X19" s="11">
        <v>1</v>
      </c>
      <c r="Y19" s="11" t="s">
        <v>80</v>
      </c>
      <c r="Z19" s="11">
        <v>4.5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1">SUM(B8:B19)</f>
        <v>42</v>
      </c>
      <c r="C23" s="21">
        <f t="shared" si="1"/>
        <v>44.35</v>
      </c>
      <c r="D23" s="21">
        <f t="shared" si="1"/>
        <v>34</v>
      </c>
      <c r="E23" s="21">
        <f t="shared" si="1"/>
        <v>4</v>
      </c>
      <c r="F23" s="21">
        <f t="shared" si="1"/>
        <v>7.25</v>
      </c>
      <c r="G23" s="21">
        <f t="shared" si="1"/>
        <v>0</v>
      </c>
      <c r="H23" s="21">
        <f t="shared" si="1"/>
        <v>8</v>
      </c>
      <c r="I23" s="21">
        <f t="shared" si="1"/>
        <v>0</v>
      </c>
      <c r="J23" s="21">
        <f t="shared" si="1"/>
        <v>1</v>
      </c>
      <c r="K23" s="21">
        <f t="shared" si="1"/>
        <v>0</v>
      </c>
      <c r="L23" s="21">
        <f t="shared" si="1"/>
        <v>0</v>
      </c>
      <c r="M23" s="21">
        <f t="shared" si="1"/>
        <v>0</v>
      </c>
      <c r="N23" s="21">
        <f t="shared" si="1"/>
        <v>2</v>
      </c>
      <c r="O23" s="21"/>
      <c r="P23" s="21">
        <f t="shared" ref="P23:Z23" si="2">SUM(P8:P19)</f>
        <v>189</v>
      </c>
      <c r="Q23" s="21">
        <f t="shared" si="2"/>
        <v>130</v>
      </c>
      <c r="R23" s="21">
        <f t="shared" si="2"/>
        <v>33</v>
      </c>
      <c r="S23" s="21">
        <f t="shared" si="2"/>
        <v>15</v>
      </c>
      <c r="T23" s="21">
        <f t="shared" si="2"/>
        <v>82</v>
      </c>
      <c r="U23" s="21">
        <f t="shared" si="2"/>
        <v>33</v>
      </c>
      <c r="V23" s="21">
        <f t="shared" si="2"/>
        <v>0</v>
      </c>
      <c r="W23" s="21">
        <f t="shared" si="2"/>
        <v>0</v>
      </c>
      <c r="X23" s="21">
        <f t="shared" si="2"/>
        <v>33</v>
      </c>
      <c r="Y23" s="21">
        <f t="shared" si="2"/>
        <v>7</v>
      </c>
      <c r="Z23" s="21">
        <f t="shared" si="2"/>
        <v>15.5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34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4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7.25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8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1</v>
      </c>
    </row>
  </sheetData>
  <mergeCells count="31">
    <mergeCell ref="P6:P7"/>
    <mergeCell ref="Q6:T6"/>
    <mergeCell ref="U6:X6"/>
    <mergeCell ref="Y6:Y7"/>
    <mergeCell ref="Z6:Z7"/>
    <mergeCell ref="Q27:Q28"/>
    <mergeCell ref="M27:P28"/>
    <mergeCell ref="A1:Z4"/>
    <mergeCell ref="A5:Z5"/>
    <mergeCell ref="A6:A7"/>
    <mergeCell ref="B6:B7"/>
    <mergeCell ref="D6:F6"/>
    <mergeCell ref="G6:H6"/>
    <mergeCell ref="I6:J6"/>
    <mergeCell ref="K6:N6"/>
    <mergeCell ref="J26:K26"/>
    <mergeCell ref="M26:P26"/>
    <mergeCell ref="J27:K29"/>
    <mergeCell ref="A24:P24"/>
    <mergeCell ref="A25:D25"/>
    <mergeCell ref="E25:I25"/>
    <mergeCell ref="J25:K25"/>
    <mergeCell ref="A26:D26"/>
    <mergeCell ref="E26:I26"/>
    <mergeCell ref="M30:P30"/>
    <mergeCell ref="M31:P31"/>
    <mergeCell ref="M29:P29"/>
    <mergeCell ref="A27:D27"/>
    <mergeCell ref="E27:I29"/>
    <mergeCell ref="A28:D28"/>
    <mergeCell ref="A29:D2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cols>
    <col min="11" max="11" width="11" bestFit="1" customWidth="1"/>
  </cols>
  <sheetData>
    <row r="1" spans="1:26" x14ac:dyDescent="0.25">
      <c r="A1" s="131" t="s">
        <v>89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60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53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90</v>
      </c>
      <c r="P7" s="154"/>
      <c r="Q7" s="109" t="s">
        <v>26</v>
      </c>
      <c r="R7" s="108" t="s">
        <v>27</v>
      </c>
      <c r="S7" s="108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2">
        <v>0</v>
      </c>
    </row>
    <row r="9" spans="1:26" ht="15.75" thickBot="1" x14ac:dyDescent="0.3">
      <c r="A9" s="8">
        <v>45536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2">
        <v>0</v>
      </c>
    </row>
    <row r="10" spans="1:26" ht="15.75" thickBot="1" x14ac:dyDescent="0.3">
      <c r="A10" s="8">
        <v>45566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2">
        <v>0</v>
      </c>
    </row>
    <row r="11" spans="1:26" ht="15.75" thickBot="1" x14ac:dyDescent="0.3">
      <c r="A11" s="8">
        <v>45597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2">
        <v>0</v>
      </c>
    </row>
    <row r="12" spans="1:26" ht="15.75" thickBot="1" x14ac:dyDescent="0.3">
      <c r="A12" s="8">
        <v>45627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2">
        <v>0</v>
      </c>
    </row>
    <row r="13" spans="1:26" ht="15.75" thickBot="1" x14ac:dyDescent="0.3">
      <c r="A13" s="8">
        <v>45658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2">
        <v>0</v>
      </c>
    </row>
    <row r="14" spans="1:26" ht="15.75" thickBot="1" x14ac:dyDescent="0.3">
      <c r="A14" s="8">
        <v>45689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2">
        <v>0</v>
      </c>
    </row>
    <row r="15" spans="1:26" ht="15.75" thickBot="1" x14ac:dyDescent="0.3">
      <c r="A15" s="8">
        <v>45717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0</v>
      </c>
      <c r="K15" s="13">
        <v>119</v>
      </c>
      <c r="L15" s="13">
        <v>25</v>
      </c>
      <c r="M15" s="13">
        <v>0</v>
      </c>
      <c r="N15" s="13">
        <v>25</v>
      </c>
      <c r="O15" s="13">
        <v>0</v>
      </c>
      <c r="P15" s="13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r="16" spans="1:26" ht="15.75" thickBot="1" x14ac:dyDescent="0.3">
      <c r="A16" s="8">
        <v>45748</v>
      </c>
      <c r="B16" s="10">
        <v>0</v>
      </c>
      <c r="C16" s="10">
        <v>7.5</v>
      </c>
      <c r="D16" s="10">
        <v>0</v>
      </c>
      <c r="E16" s="10">
        <v>0</v>
      </c>
      <c r="F16" s="10">
        <v>0</v>
      </c>
      <c r="G16" s="10">
        <v>0</v>
      </c>
      <c r="H16" s="10">
        <v>25</v>
      </c>
      <c r="I16" s="10">
        <v>0</v>
      </c>
      <c r="J16" s="12">
        <v>0</v>
      </c>
      <c r="K16" s="13">
        <v>69</v>
      </c>
      <c r="L16" s="13">
        <v>49</v>
      </c>
      <c r="M16" s="13">
        <v>0</v>
      </c>
      <c r="N16" s="13">
        <v>58</v>
      </c>
      <c r="O16" s="13">
        <v>3</v>
      </c>
      <c r="P16" s="13">
        <v>0</v>
      </c>
      <c r="Q16" s="11">
        <v>0</v>
      </c>
      <c r="R16" s="11">
        <v>0</v>
      </c>
      <c r="S16" s="11">
        <v>0</v>
      </c>
      <c r="T16" s="11">
        <v>0</v>
      </c>
      <c r="U16" s="11">
        <v>1</v>
      </c>
      <c r="V16" s="11">
        <v>0</v>
      </c>
      <c r="W16" s="11">
        <v>0</v>
      </c>
      <c r="X16" s="11">
        <v>0</v>
      </c>
      <c r="Y16" s="11" t="s">
        <v>91</v>
      </c>
      <c r="Z16" s="11">
        <v>0</v>
      </c>
    </row>
    <row r="17" spans="1:26" ht="15.75" thickBot="1" x14ac:dyDescent="0.3">
      <c r="A17" s="8">
        <v>45778</v>
      </c>
      <c r="B17" s="10">
        <v>0</v>
      </c>
      <c r="C17" s="10">
        <v>0.3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0</v>
      </c>
      <c r="J17" s="12">
        <v>0</v>
      </c>
      <c r="K17" s="13">
        <v>0</v>
      </c>
      <c r="L17" s="13">
        <v>13</v>
      </c>
      <c r="M17" s="13">
        <v>0</v>
      </c>
      <c r="N17" s="13">
        <v>13</v>
      </c>
      <c r="O17" s="13">
        <v>0</v>
      </c>
      <c r="P17" s="13">
        <v>5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 t="s">
        <v>91</v>
      </c>
      <c r="Z17" s="11">
        <v>0.5</v>
      </c>
    </row>
    <row r="18" spans="1:26" ht="15.75" thickBot="1" x14ac:dyDescent="0.3">
      <c r="A18" s="8">
        <v>45809</v>
      </c>
      <c r="B18" s="10">
        <v>1</v>
      </c>
      <c r="C18" s="10">
        <v>1.5</v>
      </c>
      <c r="D18" s="10">
        <v>0</v>
      </c>
      <c r="E18" s="10">
        <v>1</v>
      </c>
      <c r="F18" s="10">
        <v>0</v>
      </c>
      <c r="G18" s="10">
        <v>1</v>
      </c>
      <c r="H18" s="10">
        <v>0</v>
      </c>
      <c r="I18" s="10">
        <v>0</v>
      </c>
      <c r="J18" s="12">
        <v>0</v>
      </c>
      <c r="K18" s="13">
        <v>3</v>
      </c>
      <c r="L18" s="13">
        <v>3</v>
      </c>
      <c r="M18" s="13">
        <v>0</v>
      </c>
      <c r="N18" s="13">
        <v>3</v>
      </c>
      <c r="O18" s="13">
        <v>3</v>
      </c>
      <c r="P18" s="13">
        <v>1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 t="s">
        <v>91</v>
      </c>
      <c r="Z18" s="11">
        <v>1</v>
      </c>
    </row>
    <row r="19" spans="1:26" ht="15.75" thickBot="1" x14ac:dyDescent="0.3">
      <c r="A19" s="8">
        <v>45839</v>
      </c>
      <c r="B19" s="10">
        <v>3</v>
      </c>
      <c r="C19" s="10">
        <v>3</v>
      </c>
      <c r="D19" s="12">
        <v>0</v>
      </c>
      <c r="E19" s="14">
        <v>3</v>
      </c>
      <c r="F19" s="15">
        <v>0</v>
      </c>
      <c r="G19" s="10">
        <v>0</v>
      </c>
      <c r="H19" s="15">
        <v>0</v>
      </c>
      <c r="I19" s="10">
        <v>0</v>
      </c>
      <c r="J19" s="12">
        <v>0</v>
      </c>
      <c r="K19" s="15">
        <v>0</v>
      </c>
      <c r="L19" s="13">
        <v>0</v>
      </c>
      <c r="M19" s="13">
        <v>0</v>
      </c>
      <c r="N19" s="15">
        <v>0</v>
      </c>
      <c r="O19" s="16">
        <v>0</v>
      </c>
      <c r="P19" s="16">
        <v>4</v>
      </c>
      <c r="Q19" s="11">
        <v>4</v>
      </c>
      <c r="R19" s="11">
        <v>3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 t="s">
        <v>91</v>
      </c>
      <c r="Z19" s="11">
        <v>4.5</v>
      </c>
    </row>
    <row r="20" spans="1:26" ht="15.75" thickBot="1" x14ac:dyDescent="0.3">
      <c r="A20" s="8"/>
      <c r="B20" s="8"/>
      <c r="C20" s="8"/>
      <c r="D20" s="12"/>
      <c r="E20" s="18"/>
      <c r="F20" s="12"/>
      <c r="G20" s="18"/>
      <c r="H20" s="12"/>
      <c r="I20" s="10"/>
      <c r="J20" s="12"/>
      <c r="K20" s="12"/>
      <c r="L20" s="18"/>
      <c r="M20" s="12"/>
      <c r="N20" s="12"/>
      <c r="O20" s="13"/>
      <c r="P20" s="13"/>
      <c r="Q20" s="19"/>
      <c r="R20" s="19"/>
      <c r="S20" s="19"/>
      <c r="T20" s="19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12"/>
      <c r="E21" s="18"/>
      <c r="F21" s="12"/>
      <c r="G21" s="18"/>
      <c r="H21" s="12"/>
      <c r="I21" s="18"/>
      <c r="J21" s="12"/>
      <c r="K21" s="12"/>
      <c r="L21" s="18"/>
      <c r="M21" s="12"/>
      <c r="N21" s="12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N23" si="0">SUM(B8:B19)</f>
        <v>4</v>
      </c>
      <c r="C23" s="21">
        <f t="shared" si="0"/>
        <v>12.3</v>
      </c>
      <c r="D23" s="21">
        <f t="shared" si="0"/>
        <v>0</v>
      </c>
      <c r="E23" s="21">
        <f t="shared" si="0"/>
        <v>4</v>
      </c>
      <c r="F23" s="21">
        <f t="shared" si="0"/>
        <v>0</v>
      </c>
      <c r="G23" s="21">
        <f t="shared" si="0"/>
        <v>1</v>
      </c>
      <c r="H23" s="21">
        <f t="shared" si="0"/>
        <v>26</v>
      </c>
      <c r="I23" s="21">
        <f t="shared" si="0"/>
        <v>0</v>
      </c>
      <c r="J23" s="21">
        <f t="shared" si="0"/>
        <v>0</v>
      </c>
      <c r="K23" s="21">
        <f t="shared" si="0"/>
        <v>191</v>
      </c>
      <c r="L23" s="21">
        <f t="shared" si="0"/>
        <v>90</v>
      </c>
      <c r="M23" s="21">
        <f t="shared" si="0"/>
        <v>0</v>
      </c>
      <c r="N23" s="21">
        <f t="shared" si="0"/>
        <v>99</v>
      </c>
      <c r="O23" s="21">
        <v>6</v>
      </c>
      <c r="P23" s="21">
        <f t="shared" ref="P23:Z23" si="1">SUM(P8:P19)</f>
        <v>10</v>
      </c>
      <c r="Q23" s="21">
        <f t="shared" si="1"/>
        <v>4</v>
      </c>
      <c r="R23" s="21">
        <f t="shared" si="1"/>
        <v>3</v>
      </c>
      <c r="S23" s="21">
        <f t="shared" si="1"/>
        <v>0</v>
      </c>
      <c r="T23" s="21">
        <f t="shared" si="1"/>
        <v>1</v>
      </c>
      <c r="U23" s="21">
        <f t="shared" si="1"/>
        <v>1</v>
      </c>
      <c r="V23" s="21">
        <f t="shared" si="1"/>
        <v>0</v>
      </c>
      <c r="W23" s="21">
        <f t="shared" si="1"/>
        <v>0</v>
      </c>
      <c r="X23" s="21">
        <f t="shared" si="1"/>
        <v>0</v>
      </c>
      <c r="Y23" s="21">
        <f t="shared" si="1"/>
        <v>0</v>
      </c>
      <c r="Z23" s="21">
        <f t="shared" si="1"/>
        <v>6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2">
        <v>0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57">
        <v>4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58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2">
        <v>0</v>
      </c>
    </row>
    <row r="30" spans="1:26" ht="15.75" thickBot="1" x14ac:dyDescent="0.3">
      <c r="M30" s="164" t="s">
        <v>145</v>
      </c>
      <c r="N30" s="165"/>
      <c r="O30" s="165"/>
      <c r="P30" s="166"/>
      <c r="Q30" s="12">
        <v>27</v>
      </c>
    </row>
    <row r="31" spans="1:26" ht="15.75" thickBot="1" x14ac:dyDescent="0.3">
      <c r="M31" s="164" t="s">
        <v>43</v>
      </c>
      <c r="N31" s="165"/>
      <c r="O31" s="165"/>
      <c r="P31" s="166"/>
      <c r="Q31" s="78">
        <v>0</v>
      </c>
    </row>
  </sheetData>
  <mergeCells count="31">
    <mergeCell ref="M30:P30"/>
    <mergeCell ref="M31:P31"/>
    <mergeCell ref="M29:P29"/>
    <mergeCell ref="A24:P24"/>
    <mergeCell ref="A25:D25"/>
    <mergeCell ref="E25:I25"/>
    <mergeCell ref="J25:K25"/>
    <mergeCell ref="A26:D26"/>
    <mergeCell ref="E26:I26"/>
    <mergeCell ref="J26:K26"/>
    <mergeCell ref="M26:P26"/>
    <mergeCell ref="A27:D27"/>
    <mergeCell ref="E27:I29"/>
    <mergeCell ref="J27:K29"/>
    <mergeCell ref="M27:P28"/>
    <mergeCell ref="Q27:Q28"/>
    <mergeCell ref="A28:D28"/>
    <mergeCell ref="A29:D29"/>
    <mergeCell ref="A1:Z4"/>
    <mergeCell ref="A5:Z5"/>
    <mergeCell ref="A6:A7"/>
    <mergeCell ref="B6:B7"/>
    <mergeCell ref="D6:F6"/>
    <mergeCell ref="G6:H6"/>
    <mergeCell ref="I6:J6"/>
    <mergeCell ref="K6:N6"/>
    <mergeCell ref="P6:P7"/>
    <mergeCell ref="Q6:T6"/>
    <mergeCell ref="U6:X6"/>
    <mergeCell ref="Y6:Y7"/>
    <mergeCell ref="Z6:Z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sqref="A1:Z4"/>
    </sheetView>
  </sheetViews>
  <sheetFormatPr defaultRowHeight="15" x14ac:dyDescent="0.25"/>
  <cols>
    <col min="11" max="11" width="11" bestFit="1" customWidth="1"/>
    <col min="15" max="15" width="11" customWidth="1"/>
    <col min="18" max="18" width="10.5703125" customWidth="1"/>
    <col min="19" max="19" width="10.7109375" customWidth="1"/>
    <col min="20" max="20" width="9.85546875" customWidth="1"/>
  </cols>
  <sheetData>
    <row r="1" spans="1:26" x14ac:dyDescent="0.25">
      <c r="A1" s="131" t="s">
        <v>100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3"/>
    </row>
    <row r="2" spans="1:26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6"/>
    </row>
    <row r="3" spans="1:2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</row>
    <row r="4" spans="1:26" ht="15.75" thickBot="1" x14ac:dyDescent="0.3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26" ht="15.75" thickBot="1" x14ac:dyDescent="0.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</row>
    <row r="6" spans="1:26" ht="15.75" thickBot="1" x14ac:dyDescent="0.3">
      <c r="A6" s="197" t="s">
        <v>1</v>
      </c>
      <c r="B6" s="145" t="s">
        <v>2</v>
      </c>
      <c r="C6" s="1"/>
      <c r="D6" s="147" t="s">
        <v>3</v>
      </c>
      <c r="E6" s="148"/>
      <c r="F6" s="149"/>
      <c r="G6" s="150" t="s">
        <v>4</v>
      </c>
      <c r="H6" s="151"/>
      <c r="I6" s="150" t="s">
        <v>5</v>
      </c>
      <c r="J6" s="151"/>
      <c r="K6" s="150" t="s">
        <v>6</v>
      </c>
      <c r="L6" s="152"/>
      <c r="M6" s="152"/>
      <c r="N6" s="151"/>
      <c r="O6" s="44"/>
      <c r="P6" s="145" t="s">
        <v>8</v>
      </c>
      <c r="Q6" s="150" t="s">
        <v>9</v>
      </c>
      <c r="R6" s="152"/>
      <c r="S6" s="152"/>
      <c r="T6" s="151"/>
      <c r="U6" s="150" t="s">
        <v>10</v>
      </c>
      <c r="V6" s="152"/>
      <c r="W6" s="152"/>
      <c r="X6" s="151"/>
      <c r="Y6" s="145" t="s">
        <v>11</v>
      </c>
      <c r="Z6" s="145" t="s">
        <v>12</v>
      </c>
    </row>
    <row r="7" spans="1:26" ht="60.75" thickBot="1" x14ac:dyDescent="0.3">
      <c r="A7" s="198"/>
      <c r="B7" s="146"/>
      <c r="C7" s="114" t="s">
        <v>13</v>
      </c>
      <c r="D7" s="112" t="s">
        <v>14</v>
      </c>
      <c r="E7" s="112" t="s">
        <v>15</v>
      </c>
      <c r="F7" s="113" t="s">
        <v>16</v>
      </c>
      <c r="G7" s="5" t="s">
        <v>17</v>
      </c>
      <c r="H7" s="3" t="s">
        <v>18</v>
      </c>
      <c r="I7" s="3" t="s">
        <v>19</v>
      </c>
      <c r="J7" s="3" t="s">
        <v>20</v>
      </c>
      <c r="K7" s="4" t="s">
        <v>22</v>
      </c>
      <c r="L7" s="6" t="s">
        <v>23</v>
      </c>
      <c r="M7" s="4" t="s">
        <v>24</v>
      </c>
      <c r="N7" s="24" t="s">
        <v>25</v>
      </c>
      <c r="O7" s="80" t="s">
        <v>101</v>
      </c>
      <c r="P7" s="146"/>
      <c r="Q7" s="127" t="s">
        <v>26</v>
      </c>
      <c r="R7" s="108" t="s">
        <v>27</v>
      </c>
      <c r="S7" s="109" t="s">
        <v>28</v>
      </c>
      <c r="T7" s="108" t="s">
        <v>29</v>
      </c>
      <c r="U7" s="110" t="s">
        <v>30</v>
      </c>
      <c r="V7" s="110" t="s">
        <v>31</v>
      </c>
      <c r="W7" s="110" t="s">
        <v>32</v>
      </c>
      <c r="X7" s="111" t="s">
        <v>26</v>
      </c>
      <c r="Y7" s="146"/>
      <c r="Z7" s="146"/>
    </row>
    <row r="8" spans="1:26" ht="15.75" thickBot="1" x14ac:dyDescent="0.3">
      <c r="A8" s="8">
        <v>45505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51">
        <v>0</v>
      </c>
      <c r="P8" s="10">
        <v>0</v>
      </c>
      <c r="Q8" s="51">
        <f t="shared" ref="Q8:Q19" si="0">SUM(R8:T8)</f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1" t="s">
        <v>102</v>
      </c>
      <c r="Z8" s="12">
        <v>0</v>
      </c>
    </row>
    <row r="9" spans="1:26" ht="15.75" thickBot="1" x14ac:dyDescent="0.3">
      <c r="A9" s="8">
        <v>45536</v>
      </c>
      <c r="B9" s="27">
        <v>2</v>
      </c>
      <c r="C9" s="27">
        <v>1</v>
      </c>
      <c r="D9" s="27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52">
        <v>1</v>
      </c>
      <c r="P9" s="53">
        <v>1</v>
      </c>
      <c r="Q9" s="51">
        <f t="shared" si="0"/>
        <v>5</v>
      </c>
      <c r="R9" s="35">
        <v>2</v>
      </c>
      <c r="S9" s="10">
        <v>0</v>
      </c>
      <c r="T9" s="27">
        <v>3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1">
        <v>1.5</v>
      </c>
    </row>
    <row r="10" spans="1:26" ht="15.75" thickBot="1" x14ac:dyDescent="0.3">
      <c r="A10" s="8">
        <v>45566</v>
      </c>
      <c r="B10" s="27">
        <v>4</v>
      </c>
      <c r="C10" s="27">
        <v>4</v>
      </c>
      <c r="D10" s="27">
        <v>2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54">
        <v>2</v>
      </c>
      <c r="P10" s="53">
        <v>2</v>
      </c>
      <c r="Q10" s="51">
        <f t="shared" si="0"/>
        <v>16</v>
      </c>
      <c r="R10" s="35">
        <v>6</v>
      </c>
      <c r="S10" s="27">
        <v>6</v>
      </c>
      <c r="T10" s="27">
        <v>4</v>
      </c>
      <c r="U10" s="11">
        <v>3</v>
      </c>
      <c r="V10" s="10">
        <v>0</v>
      </c>
      <c r="W10" s="10">
        <v>0</v>
      </c>
      <c r="X10" s="11">
        <f t="shared" ref="X10:X19" si="1">U10</f>
        <v>3</v>
      </c>
      <c r="Y10" s="10">
        <v>0</v>
      </c>
      <c r="Z10" s="11">
        <v>1</v>
      </c>
    </row>
    <row r="11" spans="1:26" ht="15.75" thickBot="1" x14ac:dyDescent="0.3">
      <c r="A11" s="8">
        <v>45597</v>
      </c>
      <c r="B11" s="27">
        <v>4</v>
      </c>
      <c r="C11" s="27">
        <v>4</v>
      </c>
      <c r="D11" s="27">
        <v>2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54">
        <v>1</v>
      </c>
      <c r="P11" s="53">
        <v>8</v>
      </c>
      <c r="Q11" s="51">
        <f t="shared" si="0"/>
        <v>8</v>
      </c>
      <c r="R11" s="35">
        <v>3</v>
      </c>
      <c r="S11" s="10">
        <v>0</v>
      </c>
      <c r="T11" s="27">
        <v>5</v>
      </c>
      <c r="U11" s="11">
        <v>1</v>
      </c>
      <c r="V11" s="10">
        <v>0</v>
      </c>
      <c r="W11" s="10">
        <v>0</v>
      </c>
      <c r="X11" s="11">
        <f t="shared" si="1"/>
        <v>1</v>
      </c>
      <c r="Y11" s="11" t="s">
        <v>103</v>
      </c>
      <c r="Z11" s="11">
        <v>5</v>
      </c>
    </row>
    <row r="12" spans="1:26" ht="15.75" thickBot="1" x14ac:dyDescent="0.3">
      <c r="A12" s="8">
        <v>45627</v>
      </c>
      <c r="B12" s="27">
        <v>4</v>
      </c>
      <c r="C12" s="27">
        <v>4.5</v>
      </c>
      <c r="D12" s="27">
        <v>4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54">
        <v>11</v>
      </c>
      <c r="P12" s="53">
        <v>3</v>
      </c>
      <c r="Q12" s="51">
        <f t="shared" si="0"/>
        <v>6</v>
      </c>
      <c r="R12" s="35">
        <v>2</v>
      </c>
      <c r="S12" s="27">
        <v>3</v>
      </c>
      <c r="T12" s="27">
        <v>1</v>
      </c>
      <c r="U12" s="11">
        <v>1</v>
      </c>
      <c r="V12" s="10">
        <v>0</v>
      </c>
      <c r="W12" s="10">
        <v>0</v>
      </c>
      <c r="X12" s="11">
        <f t="shared" si="1"/>
        <v>1</v>
      </c>
      <c r="Y12" s="11" t="s">
        <v>104</v>
      </c>
      <c r="Z12" s="11">
        <v>1</v>
      </c>
    </row>
    <row r="13" spans="1:26" ht="15.75" thickBot="1" x14ac:dyDescent="0.3">
      <c r="A13" s="8">
        <v>45658</v>
      </c>
      <c r="B13" s="27">
        <v>3</v>
      </c>
      <c r="C13" s="27">
        <v>4</v>
      </c>
      <c r="D13" s="27">
        <v>3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54">
        <v>5</v>
      </c>
      <c r="P13" s="53">
        <v>5</v>
      </c>
      <c r="Q13" s="51">
        <f t="shared" si="0"/>
        <v>17</v>
      </c>
      <c r="R13" s="35">
        <v>12</v>
      </c>
      <c r="S13" s="10">
        <v>0</v>
      </c>
      <c r="T13" s="27">
        <v>5</v>
      </c>
      <c r="U13" s="11">
        <v>1</v>
      </c>
      <c r="V13" s="10">
        <v>0</v>
      </c>
      <c r="W13" s="10">
        <v>0</v>
      </c>
      <c r="X13" s="11">
        <f t="shared" si="1"/>
        <v>1</v>
      </c>
      <c r="Y13" s="10">
        <v>0</v>
      </c>
      <c r="Z13" s="11">
        <v>0</v>
      </c>
    </row>
    <row r="14" spans="1:26" ht="15.75" thickBot="1" x14ac:dyDescent="0.3">
      <c r="A14" s="8">
        <v>45689</v>
      </c>
      <c r="B14" s="27">
        <v>4</v>
      </c>
      <c r="C14" s="27">
        <v>4</v>
      </c>
      <c r="D14" s="27">
        <v>2</v>
      </c>
      <c r="E14" s="10">
        <v>0</v>
      </c>
      <c r="F14" s="10">
        <v>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54">
        <v>14</v>
      </c>
      <c r="P14" s="53">
        <v>11</v>
      </c>
      <c r="Q14" s="51">
        <f t="shared" si="0"/>
        <v>14</v>
      </c>
      <c r="R14" s="35">
        <v>8</v>
      </c>
      <c r="S14" s="27">
        <v>1</v>
      </c>
      <c r="T14" s="27">
        <v>5</v>
      </c>
      <c r="U14" s="11">
        <v>4</v>
      </c>
      <c r="V14" s="10">
        <v>0</v>
      </c>
      <c r="W14" s="10">
        <v>0</v>
      </c>
      <c r="X14" s="11">
        <f t="shared" si="1"/>
        <v>4</v>
      </c>
      <c r="Y14" s="10">
        <v>0</v>
      </c>
      <c r="Z14" s="11">
        <v>1</v>
      </c>
    </row>
    <row r="15" spans="1:26" ht="15.75" thickBot="1" x14ac:dyDescent="0.3">
      <c r="A15" s="8">
        <v>45717</v>
      </c>
      <c r="B15" s="27">
        <v>3</v>
      </c>
      <c r="C15" s="27">
        <v>6.5</v>
      </c>
      <c r="D15" s="29">
        <v>2</v>
      </c>
      <c r="E15" s="10">
        <v>0</v>
      </c>
      <c r="F15" s="10">
        <v>7</v>
      </c>
      <c r="G15" s="10">
        <v>2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54">
        <v>29</v>
      </c>
      <c r="P15" s="53">
        <v>19</v>
      </c>
      <c r="Q15" s="51">
        <f t="shared" si="0"/>
        <v>13</v>
      </c>
      <c r="R15" s="35">
        <v>6</v>
      </c>
      <c r="S15" s="27">
        <v>1</v>
      </c>
      <c r="T15" s="27">
        <v>6</v>
      </c>
      <c r="U15" s="11">
        <v>0</v>
      </c>
      <c r="V15" s="10">
        <v>0</v>
      </c>
      <c r="W15" s="10">
        <v>0</v>
      </c>
      <c r="X15" s="11">
        <f t="shared" si="1"/>
        <v>0</v>
      </c>
      <c r="Y15" s="11" t="s">
        <v>88</v>
      </c>
      <c r="Z15" s="11">
        <v>1</v>
      </c>
    </row>
    <row r="16" spans="1:26" ht="15.75" thickBot="1" x14ac:dyDescent="0.3">
      <c r="A16" s="8">
        <v>45748</v>
      </c>
      <c r="B16" s="27">
        <v>4</v>
      </c>
      <c r="C16" s="27">
        <v>8.1</v>
      </c>
      <c r="D16" s="27">
        <v>4</v>
      </c>
      <c r="E16" s="10">
        <v>0</v>
      </c>
      <c r="F16" s="10">
        <v>2</v>
      </c>
      <c r="G16" s="10">
        <v>1</v>
      </c>
      <c r="H16" s="10">
        <v>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54">
        <v>35</v>
      </c>
      <c r="P16" s="53">
        <v>5</v>
      </c>
      <c r="Q16" s="51">
        <f t="shared" si="0"/>
        <v>5</v>
      </c>
      <c r="R16" s="35">
        <v>4</v>
      </c>
      <c r="S16" s="27">
        <v>1</v>
      </c>
      <c r="T16" s="27"/>
      <c r="U16" s="11">
        <v>7</v>
      </c>
      <c r="V16" s="10">
        <v>0</v>
      </c>
      <c r="W16" s="10">
        <v>0</v>
      </c>
      <c r="X16" s="11">
        <f t="shared" si="1"/>
        <v>7</v>
      </c>
      <c r="Y16" s="11" t="s">
        <v>102</v>
      </c>
      <c r="Z16" s="11">
        <v>0</v>
      </c>
    </row>
    <row r="17" spans="1:26" ht="15.75" thickBot="1" x14ac:dyDescent="0.3">
      <c r="A17" s="8">
        <v>45778</v>
      </c>
      <c r="B17" s="27">
        <v>3</v>
      </c>
      <c r="C17" s="27">
        <v>7.5</v>
      </c>
      <c r="D17" s="32">
        <v>7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54">
        <v>9</v>
      </c>
      <c r="P17" s="53">
        <v>1</v>
      </c>
      <c r="Q17" s="51">
        <f t="shared" si="0"/>
        <v>2</v>
      </c>
      <c r="R17" s="55">
        <v>1</v>
      </c>
      <c r="S17" s="12">
        <v>0</v>
      </c>
      <c r="T17" s="35">
        <v>1</v>
      </c>
      <c r="U17" s="11">
        <v>4</v>
      </c>
      <c r="V17" s="10">
        <v>0</v>
      </c>
      <c r="W17" s="10">
        <v>0</v>
      </c>
      <c r="X17" s="11">
        <f t="shared" si="1"/>
        <v>4</v>
      </c>
      <c r="Y17" s="11" t="s">
        <v>104</v>
      </c>
      <c r="Z17" s="11">
        <v>4</v>
      </c>
    </row>
    <row r="18" spans="1:26" ht="15.75" thickBot="1" x14ac:dyDescent="0.3">
      <c r="A18" s="8">
        <v>45809</v>
      </c>
      <c r="B18" s="27">
        <v>3</v>
      </c>
      <c r="C18" s="27">
        <v>4</v>
      </c>
      <c r="D18" s="27">
        <v>3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54">
        <v>2</v>
      </c>
      <c r="P18" s="53">
        <v>2</v>
      </c>
      <c r="Q18" s="51">
        <f t="shared" si="0"/>
        <v>2</v>
      </c>
      <c r="R18" s="10">
        <v>0</v>
      </c>
      <c r="S18" s="12">
        <v>0</v>
      </c>
      <c r="T18" s="35">
        <v>2</v>
      </c>
      <c r="U18" s="11">
        <v>1</v>
      </c>
      <c r="V18" s="10">
        <v>0</v>
      </c>
      <c r="W18" s="10">
        <v>0</v>
      </c>
      <c r="X18" s="11">
        <f t="shared" si="1"/>
        <v>1</v>
      </c>
      <c r="Y18" s="11" t="s">
        <v>104</v>
      </c>
      <c r="Z18" s="11">
        <v>0</v>
      </c>
    </row>
    <row r="19" spans="1:26" ht="15.75" thickBot="1" x14ac:dyDescent="0.3">
      <c r="A19" s="8">
        <v>45839</v>
      </c>
      <c r="B19" s="9">
        <v>6</v>
      </c>
      <c r="C19" s="9">
        <v>6</v>
      </c>
      <c r="D19" s="27">
        <v>0</v>
      </c>
      <c r="E19" s="28">
        <v>6</v>
      </c>
      <c r="F19" s="10">
        <v>0</v>
      </c>
      <c r="G19" s="10">
        <v>0</v>
      </c>
      <c r="H19" s="10">
        <v>0</v>
      </c>
      <c r="I19" s="10">
        <v>0</v>
      </c>
      <c r="J19" s="12">
        <v>0</v>
      </c>
      <c r="K19" s="13">
        <v>0</v>
      </c>
      <c r="L19" s="13">
        <v>0</v>
      </c>
      <c r="M19" s="13">
        <v>0</v>
      </c>
      <c r="N19" s="13">
        <v>0</v>
      </c>
      <c r="O19" s="56">
        <v>13</v>
      </c>
      <c r="P19" s="53">
        <v>7</v>
      </c>
      <c r="Q19" s="51">
        <f t="shared" si="0"/>
        <v>10</v>
      </c>
      <c r="R19" s="35">
        <v>6</v>
      </c>
      <c r="S19" s="35">
        <v>3</v>
      </c>
      <c r="T19" s="35">
        <v>1</v>
      </c>
      <c r="U19" s="11">
        <v>8</v>
      </c>
      <c r="V19" s="11">
        <v>0</v>
      </c>
      <c r="W19" s="11">
        <v>0</v>
      </c>
      <c r="X19" s="11">
        <f t="shared" si="1"/>
        <v>8</v>
      </c>
      <c r="Y19" s="11" t="s">
        <v>104</v>
      </c>
      <c r="Z19" s="11">
        <v>5</v>
      </c>
    </row>
    <row r="20" spans="1:26" ht="15.75" thickBot="1" x14ac:dyDescent="0.3">
      <c r="A20" s="8"/>
      <c r="B20" s="8"/>
      <c r="C20" s="8"/>
      <c r="D20" s="32"/>
      <c r="E20" s="32"/>
      <c r="F20" s="10"/>
      <c r="G20" s="10"/>
      <c r="H20" s="10"/>
      <c r="I20" s="10"/>
      <c r="J20" s="12"/>
      <c r="K20" s="13"/>
      <c r="L20" s="13"/>
      <c r="M20" s="13"/>
      <c r="N20" s="13"/>
      <c r="O20" s="13"/>
      <c r="P20" s="13"/>
      <c r="Q20" s="57"/>
      <c r="R20" s="35"/>
      <c r="S20" s="35"/>
      <c r="T20" s="35"/>
      <c r="U20" s="19"/>
      <c r="V20" s="19"/>
      <c r="W20" s="19"/>
      <c r="X20" s="19"/>
      <c r="Y20" s="19"/>
      <c r="Z20" s="17"/>
    </row>
    <row r="21" spans="1:26" ht="15.75" thickBot="1" x14ac:dyDescent="0.3">
      <c r="A21" s="8"/>
      <c r="B21" s="8"/>
      <c r="C21" s="8"/>
      <c r="D21" s="27"/>
      <c r="E21" s="27"/>
      <c r="F21" s="10"/>
      <c r="G21" s="10"/>
      <c r="H21" s="10"/>
      <c r="I21" s="10"/>
      <c r="J21" s="12"/>
      <c r="K21" s="13"/>
      <c r="L21" s="13"/>
      <c r="M21" s="13"/>
      <c r="N21" s="13"/>
      <c r="O21" s="13"/>
      <c r="P21" s="13"/>
      <c r="Q21" s="19"/>
      <c r="R21" s="35"/>
      <c r="S21" s="35"/>
      <c r="T21" s="35"/>
      <c r="U21" s="19"/>
      <c r="V21" s="19"/>
      <c r="W21" s="19"/>
      <c r="X21" s="19"/>
      <c r="Y21" s="19"/>
      <c r="Z21" s="17"/>
    </row>
    <row r="22" spans="1:26" ht="15.75" thickBot="1" x14ac:dyDescent="0.3">
      <c r="A22" s="8"/>
      <c r="B22" s="8"/>
      <c r="C22" s="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35"/>
      <c r="S22" s="35"/>
      <c r="T22" s="35"/>
      <c r="U22" s="20"/>
      <c r="V22" s="20"/>
      <c r="W22" s="20"/>
      <c r="X22" s="20"/>
      <c r="Y22" s="20"/>
      <c r="Z22" s="20"/>
    </row>
    <row r="23" spans="1:26" ht="15.75" thickBot="1" x14ac:dyDescent="0.3">
      <c r="B23" s="21">
        <f t="shared" ref="B23:Z23" si="2">SUM(B8:B19)</f>
        <v>40</v>
      </c>
      <c r="C23" s="21">
        <f t="shared" si="2"/>
        <v>53.6</v>
      </c>
      <c r="D23" s="21">
        <f t="shared" si="2"/>
        <v>30</v>
      </c>
      <c r="E23" s="21">
        <f t="shared" si="2"/>
        <v>6</v>
      </c>
      <c r="F23" s="21">
        <f t="shared" si="2"/>
        <v>27</v>
      </c>
      <c r="G23" s="21">
        <f t="shared" si="2"/>
        <v>3</v>
      </c>
      <c r="H23" s="21">
        <f t="shared" si="2"/>
        <v>8</v>
      </c>
      <c r="I23" s="21">
        <f t="shared" si="2"/>
        <v>0</v>
      </c>
      <c r="J23" s="21">
        <f t="shared" si="2"/>
        <v>0</v>
      </c>
      <c r="K23" s="21">
        <f t="shared" si="2"/>
        <v>0</v>
      </c>
      <c r="L23" s="21">
        <f t="shared" si="2"/>
        <v>0</v>
      </c>
      <c r="M23" s="21">
        <f t="shared" si="2"/>
        <v>0</v>
      </c>
      <c r="N23" s="21">
        <f t="shared" si="2"/>
        <v>0</v>
      </c>
      <c r="O23" s="21">
        <f t="shared" si="2"/>
        <v>122</v>
      </c>
      <c r="P23" s="21">
        <f t="shared" si="2"/>
        <v>64</v>
      </c>
      <c r="Q23" s="21">
        <f t="shared" si="2"/>
        <v>98</v>
      </c>
      <c r="R23" s="21">
        <f t="shared" si="2"/>
        <v>50</v>
      </c>
      <c r="S23" s="21">
        <f t="shared" si="2"/>
        <v>15</v>
      </c>
      <c r="T23" s="21">
        <f t="shared" si="2"/>
        <v>33</v>
      </c>
      <c r="U23" s="21">
        <f t="shared" si="2"/>
        <v>30</v>
      </c>
      <c r="V23" s="21">
        <f t="shared" si="2"/>
        <v>0</v>
      </c>
      <c r="W23" s="21">
        <f t="shared" si="2"/>
        <v>0</v>
      </c>
      <c r="X23" s="21">
        <f t="shared" si="2"/>
        <v>30</v>
      </c>
      <c r="Y23" s="21">
        <f t="shared" si="2"/>
        <v>0</v>
      </c>
      <c r="Z23" s="21">
        <f t="shared" si="2"/>
        <v>19.5</v>
      </c>
    </row>
    <row r="24" spans="1:26" ht="15.75" thickBot="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6" ht="15.75" thickBot="1" x14ac:dyDescent="0.3">
      <c r="A25" s="164" t="s">
        <v>36</v>
      </c>
      <c r="B25" s="165"/>
      <c r="C25" s="165"/>
      <c r="D25" s="166"/>
      <c r="E25" s="164" t="s">
        <v>37</v>
      </c>
      <c r="F25" s="165"/>
      <c r="G25" s="165"/>
      <c r="H25" s="165"/>
      <c r="I25" s="166"/>
      <c r="J25" s="164" t="s">
        <v>38</v>
      </c>
      <c r="K25" s="166"/>
    </row>
    <row r="26" spans="1:26" ht="15.75" thickBot="1" x14ac:dyDescent="0.3">
      <c r="A26" s="167"/>
      <c r="B26" s="168"/>
      <c r="C26" s="168"/>
      <c r="D26" s="169"/>
      <c r="E26" s="167"/>
      <c r="F26" s="168"/>
      <c r="G26" s="168"/>
      <c r="H26" s="168"/>
      <c r="I26" s="169"/>
      <c r="J26" s="167"/>
      <c r="K26" s="169"/>
      <c r="M26" s="164" t="s">
        <v>39</v>
      </c>
      <c r="N26" s="165"/>
      <c r="O26" s="165"/>
      <c r="P26" s="166"/>
      <c r="Q26" s="17">
        <v>30</v>
      </c>
    </row>
    <row r="27" spans="1:26" x14ac:dyDescent="0.25">
      <c r="A27" s="159"/>
      <c r="B27" s="156"/>
      <c r="C27" s="156"/>
      <c r="D27" s="160"/>
      <c r="E27" s="159"/>
      <c r="F27" s="156"/>
      <c r="G27" s="156"/>
      <c r="H27" s="156"/>
      <c r="I27" s="160"/>
      <c r="J27" s="159"/>
      <c r="K27" s="160"/>
      <c r="M27" s="167" t="s">
        <v>40</v>
      </c>
      <c r="N27" s="168"/>
      <c r="O27" s="168"/>
      <c r="P27" s="169"/>
      <c r="Q27" s="195">
        <v>6</v>
      </c>
      <c r="R27" s="22"/>
      <c r="S27" s="22"/>
      <c r="T27" s="22"/>
    </row>
    <row r="28" spans="1:26" ht="15.75" thickBot="1" x14ac:dyDescent="0.3">
      <c r="A28" s="159"/>
      <c r="B28" s="156"/>
      <c r="C28" s="156"/>
      <c r="D28" s="160"/>
      <c r="E28" s="159"/>
      <c r="F28" s="156"/>
      <c r="G28" s="156"/>
      <c r="H28" s="156"/>
      <c r="I28" s="160"/>
      <c r="J28" s="159"/>
      <c r="K28" s="160"/>
      <c r="M28" s="161"/>
      <c r="N28" s="162"/>
      <c r="O28" s="162"/>
      <c r="P28" s="163"/>
      <c r="Q28" s="196"/>
      <c r="R28" s="22"/>
      <c r="S28" s="22"/>
      <c r="T28" s="22"/>
    </row>
    <row r="29" spans="1:26" ht="15.75" thickBot="1" x14ac:dyDescent="0.3">
      <c r="A29" s="161"/>
      <c r="B29" s="162"/>
      <c r="C29" s="162"/>
      <c r="D29" s="163"/>
      <c r="E29" s="161"/>
      <c r="F29" s="162"/>
      <c r="G29" s="162"/>
      <c r="H29" s="162"/>
      <c r="I29" s="163"/>
      <c r="J29" s="161"/>
      <c r="K29" s="163"/>
      <c r="M29" s="164" t="s">
        <v>41</v>
      </c>
      <c r="N29" s="165"/>
      <c r="O29" s="165"/>
      <c r="P29" s="166"/>
      <c r="Q29" s="17">
        <v>27</v>
      </c>
    </row>
    <row r="30" spans="1:26" ht="15.75" thickBot="1" x14ac:dyDescent="0.3">
      <c r="M30" s="164" t="s">
        <v>145</v>
      </c>
      <c r="N30" s="165"/>
      <c r="O30" s="165"/>
      <c r="P30" s="166"/>
      <c r="Q30" s="17">
        <v>12</v>
      </c>
    </row>
    <row r="31" spans="1:26" ht="15.75" thickBot="1" x14ac:dyDescent="0.3">
      <c r="M31" s="164" t="s">
        <v>43</v>
      </c>
      <c r="N31" s="165"/>
      <c r="O31" s="165"/>
      <c r="P31" s="166"/>
      <c r="Q31" s="23">
        <v>0</v>
      </c>
    </row>
  </sheetData>
  <mergeCells count="31">
    <mergeCell ref="M31:P31"/>
    <mergeCell ref="Q27:Q28"/>
    <mergeCell ref="I6:J6"/>
    <mergeCell ref="A28:D28"/>
    <mergeCell ref="A29:D29"/>
    <mergeCell ref="M29:P29"/>
    <mergeCell ref="M30:P30"/>
    <mergeCell ref="A26:D26"/>
    <mergeCell ref="E26:I26"/>
    <mergeCell ref="J26:K26"/>
    <mergeCell ref="M26:P26"/>
    <mergeCell ref="A27:D27"/>
    <mergeCell ref="E27:I29"/>
    <mergeCell ref="J27:K29"/>
    <mergeCell ref="M27:P28"/>
    <mergeCell ref="A1:Z4"/>
    <mergeCell ref="A5:Z5"/>
    <mergeCell ref="Z6:Z7"/>
    <mergeCell ref="A24:P24"/>
    <mergeCell ref="A25:D25"/>
    <mergeCell ref="E25:I25"/>
    <mergeCell ref="J25:K25"/>
    <mergeCell ref="K6:N6"/>
    <mergeCell ref="P6:P7"/>
    <mergeCell ref="Q6:T6"/>
    <mergeCell ref="U6:X6"/>
    <mergeCell ref="Y6:Y7"/>
    <mergeCell ref="A6:A7"/>
    <mergeCell ref="B6:B7"/>
    <mergeCell ref="D6:F6"/>
    <mergeCell ref="G6:H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A30"/>
  <sheetViews>
    <sheetView workbookViewId="0"/>
  </sheetViews>
  <sheetFormatPr defaultRowHeight="15" x14ac:dyDescent="0.25"/>
  <sheetData>
    <row r="1" spans="2:27" x14ac:dyDescent="0.25">
      <c r="B1" s="131" t="s">
        <v>131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3"/>
    </row>
    <row r="2" spans="2:27" x14ac:dyDescent="0.25"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6"/>
    </row>
    <row r="3" spans="2:27" x14ac:dyDescent="0.25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6"/>
    </row>
    <row r="4" spans="2:27" ht="15.75" thickBot="1" x14ac:dyDescent="0.3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9"/>
    </row>
    <row r="5" spans="2:27" ht="15.75" thickBot="1" x14ac:dyDescent="0.3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2"/>
    </row>
    <row r="6" spans="2:27" ht="15.75" thickBot="1" x14ac:dyDescent="0.3">
      <c r="B6" s="143" t="s">
        <v>1</v>
      </c>
      <c r="C6" s="145" t="s">
        <v>60</v>
      </c>
      <c r="D6" s="1"/>
      <c r="E6" s="147" t="s">
        <v>3</v>
      </c>
      <c r="F6" s="148"/>
      <c r="G6" s="149"/>
      <c r="H6" s="150" t="s">
        <v>4</v>
      </c>
      <c r="I6" s="151"/>
      <c r="J6" s="150" t="s">
        <v>5</v>
      </c>
      <c r="K6" s="151"/>
      <c r="L6" s="150" t="s">
        <v>6</v>
      </c>
      <c r="M6" s="152"/>
      <c r="N6" s="152"/>
      <c r="O6" s="151"/>
      <c r="P6" s="44"/>
      <c r="Q6" s="153" t="s">
        <v>8</v>
      </c>
      <c r="R6" s="150" t="s">
        <v>9</v>
      </c>
      <c r="S6" s="152"/>
      <c r="T6" s="152"/>
      <c r="U6" s="151"/>
      <c r="V6" s="150" t="s">
        <v>10</v>
      </c>
      <c r="W6" s="152"/>
      <c r="X6" s="152"/>
      <c r="Y6" s="151"/>
      <c r="Z6" s="145" t="s">
        <v>11</v>
      </c>
      <c r="AA6" s="145" t="s">
        <v>12</v>
      </c>
    </row>
    <row r="7" spans="2:27" ht="60.75" thickBot="1" x14ac:dyDescent="0.3">
      <c r="B7" s="144"/>
      <c r="C7" s="146"/>
      <c r="D7" s="114" t="s">
        <v>13</v>
      </c>
      <c r="E7" s="112" t="s">
        <v>14</v>
      </c>
      <c r="F7" s="112" t="s">
        <v>15</v>
      </c>
      <c r="G7" s="113" t="s">
        <v>16</v>
      </c>
      <c r="H7" s="5" t="s">
        <v>17</v>
      </c>
      <c r="I7" s="3" t="s">
        <v>18</v>
      </c>
      <c r="J7" s="3" t="s">
        <v>19</v>
      </c>
      <c r="K7" s="3" t="s">
        <v>20</v>
      </c>
      <c r="L7" s="4" t="s">
        <v>22</v>
      </c>
      <c r="M7" s="6" t="s">
        <v>23</v>
      </c>
      <c r="N7" s="4" t="s">
        <v>24</v>
      </c>
      <c r="O7" s="24" t="s">
        <v>25</v>
      </c>
      <c r="P7" s="80" t="s">
        <v>132</v>
      </c>
      <c r="Q7" s="154"/>
      <c r="R7" s="109" t="s">
        <v>26</v>
      </c>
      <c r="S7" s="108" t="s">
        <v>27</v>
      </c>
      <c r="T7" s="108" t="s">
        <v>28</v>
      </c>
      <c r="U7" s="108" t="s">
        <v>29</v>
      </c>
      <c r="V7" s="110" t="s">
        <v>30</v>
      </c>
      <c r="W7" s="110" t="s">
        <v>31</v>
      </c>
      <c r="X7" s="110" t="s">
        <v>32</v>
      </c>
      <c r="Y7" s="111" t="s">
        <v>26</v>
      </c>
      <c r="Z7" s="146"/>
      <c r="AA7" s="146"/>
    </row>
    <row r="8" spans="2:27" ht="15.75" thickBot="1" x14ac:dyDescent="0.3">
      <c r="B8" s="8">
        <v>45505</v>
      </c>
      <c r="C8" s="9">
        <v>2</v>
      </c>
      <c r="D8" s="9">
        <v>1.5</v>
      </c>
      <c r="E8" s="10">
        <v>0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</v>
      </c>
      <c r="R8" s="10">
        <f>SUM(S8:U8)</f>
        <v>2</v>
      </c>
      <c r="S8" s="10">
        <v>2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 t="s">
        <v>102</v>
      </c>
      <c r="AA8" s="11">
        <v>8</v>
      </c>
    </row>
    <row r="9" spans="2:27" ht="15.75" thickBot="1" x14ac:dyDescent="0.3">
      <c r="B9" s="8">
        <v>45536</v>
      </c>
      <c r="C9" s="9">
        <v>2</v>
      </c>
      <c r="D9" s="9">
        <v>1.5</v>
      </c>
      <c r="E9" s="10">
        <v>0</v>
      </c>
      <c r="F9" s="10">
        <v>1</v>
      </c>
      <c r="G9" s="10">
        <v>1</v>
      </c>
      <c r="H9" s="11">
        <v>0</v>
      </c>
      <c r="I9" s="10">
        <v>0</v>
      </c>
      <c r="J9" s="10">
        <v>0</v>
      </c>
      <c r="K9" s="10">
        <v>0</v>
      </c>
      <c r="L9" s="10">
        <v>0</v>
      </c>
      <c r="M9" s="12">
        <v>0</v>
      </c>
      <c r="N9" s="13">
        <v>0</v>
      </c>
      <c r="O9" s="13">
        <v>0</v>
      </c>
      <c r="P9" s="13">
        <v>0</v>
      </c>
      <c r="Q9" s="13">
        <v>5</v>
      </c>
      <c r="R9" s="10">
        <f t="shared" ref="R9:R13" si="0">SUM(S9:U9)</f>
        <v>3</v>
      </c>
      <c r="S9" s="11">
        <v>0</v>
      </c>
      <c r="T9" s="11">
        <v>1</v>
      </c>
      <c r="U9" s="11">
        <v>2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11</v>
      </c>
    </row>
    <row r="10" spans="2:27" ht="15.75" thickBot="1" x14ac:dyDescent="0.3">
      <c r="B10" s="8">
        <v>45566</v>
      </c>
      <c r="C10" s="9">
        <v>1</v>
      </c>
      <c r="D10" s="9">
        <v>1.3</v>
      </c>
      <c r="E10" s="10">
        <v>1</v>
      </c>
      <c r="F10" s="10">
        <v>0</v>
      </c>
      <c r="G10" s="10">
        <v>0</v>
      </c>
      <c r="H10" s="46">
        <v>1</v>
      </c>
      <c r="I10" s="10">
        <v>0</v>
      </c>
      <c r="J10" s="10">
        <v>0</v>
      </c>
      <c r="K10" s="10">
        <v>0</v>
      </c>
      <c r="L10" s="12">
        <v>6</v>
      </c>
      <c r="M10" s="12">
        <v>3</v>
      </c>
      <c r="N10" s="13">
        <v>0</v>
      </c>
      <c r="O10" s="13">
        <v>5</v>
      </c>
      <c r="P10" s="13">
        <v>6</v>
      </c>
      <c r="Q10" s="13">
        <v>10</v>
      </c>
      <c r="R10" s="10">
        <f t="shared" si="0"/>
        <v>10</v>
      </c>
      <c r="S10" s="11">
        <v>4</v>
      </c>
      <c r="T10" s="10">
        <v>0</v>
      </c>
      <c r="U10" s="11">
        <v>6</v>
      </c>
      <c r="V10" s="11">
        <v>5</v>
      </c>
      <c r="W10" s="11">
        <v>0</v>
      </c>
      <c r="X10" s="11">
        <v>0</v>
      </c>
      <c r="Y10" s="11">
        <v>5</v>
      </c>
      <c r="Z10" s="11">
        <v>0</v>
      </c>
      <c r="AA10" s="11">
        <v>2</v>
      </c>
    </row>
    <row r="11" spans="2:27" ht="15.75" thickBot="1" x14ac:dyDescent="0.3">
      <c r="B11" s="8">
        <v>45597</v>
      </c>
      <c r="C11" s="9">
        <v>2</v>
      </c>
      <c r="D11" s="9">
        <v>3.6</v>
      </c>
      <c r="E11" s="10">
        <v>3</v>
      </c>
      <c r="F11" s="10">
        <v>0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10">
        <v>0</v>
      </c>
      <c r="M11" s="12">
        <v>0</v>
      </c>
      <c r="N11" s="13">
        <v>0</v>
      </c>
      <c r="O11" s="13">
        <v>0</v>
      </c>
      <c r="P11" s="13">
        <v>3</v>
      </c>
      <c r="Q11" s="13">
        <v>23</v>
      </c>
      <c r="R11" s="10">
        <f t="shared" si="0"/>
        <v>11</v>
      </c>
      <c r="S11" s="11">
        <v>3</v>
      </c>
      <c r="T11" s="11">
        <v>2</v>
      </c>
      <c r="U11" s="11">
        <v>6</v>
      </c>
      <c r="V11" s="11">
        <v>3</v>
      </c>
      <c r="W11" s="11">
        <v>0</v>
      </c>
      <c r="X11" s="11">
        <v>0</v>
      </c>
      <c r="Y11" s="11">
        <v>3</v>
      </c>
      <c r="Z11" s="11" t="s">
        <v>104</v>
      </c>
      <c r="AA11" s="11">
        <v>1</v>
      </c>
    </row>
    <row r="12" spans="2:27" ht="15.75" thickBot="1" x14ac:dyDescent="0.3">
      <c r="B12" s="8">
        <v>45627</v>
      </c>
      <c r="C12" s="9">
        <v>2</v>
      </c>
      <c r="D12" s="9">
        <v>4.3</v>
      </c>
      <c r="E12" s="10">
        <v>3</v>
      </c>
      <c r="F12" s="10">
        <v>0</v>
      </c>
      <c r="G12" s="10">
        <v>2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2">
        <v>0</v>
      </c>
      <c r="N12" s="13">
        <v>0</v>
      </c>
      <c r="O12" s="13">
        <v>0</v>
      </c>
      <c r="P12" s="13">
        <v>10</v>
      </c>
      <c r="Q12" s="13">
        <v>13</v>
      </c>
      <c r="R12" s="10">
        <f t="shared" si="0"/>
        <v>4</v>
      </c>
      <c r="S12" s="11">
        <v>2</v>
      </c>
      <c r="T12" s="11">
        <v>2</v>
      </c>
      <c r="U12" s="11">
        <v>0</v>
      </c>
      <c r="V12" s="11">
        <v>1</v>
      </c>
      <c r="W12" s="11">
        <v>0</v>
      </c>
      <c r="X12" s="11">
        <v>0</v>
      </c>
      <c r="Y12" s="11">
        <v>1</v>
      </c>
      <c r="Z12" s="11" t="s">
        <v>88</v>
      </c>
      <c r="AA12" s="11">
        <v>2.5</v>
      </c>
    </row>
    <row r="13" spans="2:27" ht="15.75" thickBot="1" x14ac:dyDescent="0.3">
      <c r="B13" s="8">
        <v>45658</v>
      </c>
      <c r="C13" s="9">
        <v>2</v>
      </c>
      <c r="D13" s="9">
        <v>0.5</v>
      </c>
      <c r="E13" s="10">
        <v>0</v>
      </c>
      <c r="F13" s="10">
        <v>0</v>
      </c>
      <c r="G13" s="10">
        <v>2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2">
        <v>0</v>
      </c>
      <c r="N13" s="13">
        <v>0</v>
      </c>
      <c r="O13" s="13">
        <v>0</v>
      </c>
      <c r="P13" s="13">
        <v>3</v>
      </c>
      <c r="Q13" s="13">
        <v>8</v>
      </c>
      <c r="R13" s="10">
        <f t="shared" si="0"/>
        <v>3</v>
      </c>
      <c r="S13" s="11">
        <v>2</v>
      </c>
      <c r="T13" s="10">
        <v>0</v>
      </c>
      <c r="U13" s="11">
        <v>1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</row>
    <row r="14" spans="2:27" ht="15.75" thickBot="1" x14ac:dyDescent="0.3">
      <c r="B14" s="8">
        <v>45689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2">
        <v>0</v>
      </c>
      <c r="N14" s="18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2">
        <v>0</v>
      </c>
    </row>
    <row r="15" spans="2:27" ht="15.75" thickBot="1" x14ac:dyDescent="0.3">
      <c r="B15" s="8">
        <v>45717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2">
        <v>0</v>
      </c>
    </row>
    <row r="16" spans="2:27" ht="15.75" thickBot="1" x14ac:dyDescent="0.3">
      <c r="B16" s="8">
        <v>45748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2">
        <v>0</v>
      </c>
    </row>
    <row r="17" spans="2:27" ht="15.75" thickBot="1" x14ac:dyDescent="0.3">
      <c r="B17" s="8">
        <v>45778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2">
        <v>0</v>
      </c>
    </row>
    <row r="18" spans="2:27" ht="15.75" thickBot="1" x14ac:dyDescent="0.3">
      <c r="B18" s="8">
        <v>45809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2">
        <v>0</v>
      </c>
    </row>
    <row r="19" spans="2:27" ht="15.75" thickBot="1" x14ac:dyDescent="0.3">
      <c r="B19" s="8">
        <v>45839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2">
        <v>0</v>
      </c>
    </row>
    <row r="20" spans="2:27" ht="15.75" thickBot="1" x14ac:dyDescent="0.3">
      <c r="B20" s="8"/>
      <c r="C20" s="8"/>
      <c r="D20" s="8"/>
      <c r="E20" s="12"/>
      <c r="F20" s="18"/>
      <c r="G20" s="12"/>
      <c r="H20" s="18"/>
      <c r="I20" s="12"/>
      <c r="J20" s="18"/>
      <c r="K20" s="12"/>
      <c r="L20" s="12"/>
      <c r="M20" s="18"/>
      <c r="N20" s="12"/>
      <c r="O20" s="12"/>
      <c r="P20" s="13"/>
      <c r="Q20" s="13"/>
      <c r="R20" s="19"/>
      <c r="S20" s="19"/>
      <c r="T20" s="19"/>
      <c r="U20" s="19"/>
      <c r="V20" s="19"/>
      <c r="W20" s="19"/>
      <c r="X20" s="19"/>
      <c r="Y20" s="19"/>
      <c r="Z20" s="19"/>
      <c r="AA20" s="17"/>
    </row>
    <row r="21" spans="2:27" ht="15.75" thickBot="1" x14ac:dyDescent="0.3">
      <c r="B21" s="8"/>
      <c r="C21" s="8"/>
      <c r="D21" s="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2:27" ht="15.75" thickBot="1" x14ac:dyDescent="0.3">
      <c r="C22" s="21">
        <f>SUM(C8:C19)</f>
        <v>11</v>
      </c>
      <c r="D22" s="21">
        <f t="shared" ref="D22:AA22" si="1">SUM(D8:D19)</f>
        <v>12.7</v>
      </c>
      <c r="E22" s="21">
        <f t="shared" si="1"/>
        <v>7</v>
      </c>
      <c r="F22" s="21">
        <f t="shared" si="1"/>
        <v>2</v>
      </c>
      <c r="G22" s="21">
        <f t="shared" si="1"/>
        <v>6</v>
      </c>
      <c r="H22" s="21">
        <f t="shared" si="1"/>
        <v>4</v>
      </c>
      <c r="I22" s="21">
        <f t="shared" si="1"/>
        <v>0</v>
      </c>
      <c r="J22" s="21">
        <f t="shared" si="1"/>
        <v>0</v>
      </c>
      <c r="K22" s="21">
        <f t="shared" si="1"/>
        <v>0</v>
      </c>
      <c r="L22" s="21">
        <f t="shared" si="1"/>
        <v>6</v>
      </c>
      <c r="M22" s="21">
        <f t="shared" si="1"/>
        <v>3</v>
      </c>
      <c r="N22" s="21">
        <f t="shared" si="1"/>
        <v>0</v>
      </c>
      <c r="O22" s="21">
        <f t="shared" si="1"/>
        <v>5</v>
      </c>
      <c r="P22" s="21"/>
      <c r="Q22" s="21">
        <f t="shared" si="1"/>
        <v>61</v>
      </c>
      <c r="R22" s="21">
        <f t="shared" si="1"/>
        <v>33</v>
      </c>
      <c r="S22" s="21">
        <f t="shared" si="1"/>
        <v>13</v>
      </c>
      <c r="T22" s="21">
        <f t="shared" si="1"/>
        <v>5</v>
      </c>
      <c r="U22" s="21">
        <f t="shared" si="1"/>
        <v>15</v>
      </c>
      <c r="V22" s="21">
        <f t="shared" si="1"/>
        <v>9</v>
      </c>
      <c r="W22" s="21">
        <f t="shared" si="1"/>
        <v>0</v>
      </c>
      <c r="X22" s="21">
        <f t="shared" si="1"/>
        <v>0</v>
      </c>
      <c r="Y22" s="21">
        <f t="shared" si="1"/>
        <v>9</v>
      </c>
      <c r="Z22" s="21">
        <f t="shared" si="1"/>
        <v>0</v>
      </c>
      <c r="AA22" s="21">
        <f t="shared" si="1"/>
        <v>24.5</v>
      </c>
    </row>
    <row r="23" spans="2:27" ht="15.75" thickBot="1" x14ac:dyDescent="0.3"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2:27" ht="15.75" thickBot="1" x14ac:dyDescent="0.3">
      <c r="B24" s="164" t="s">
        <v>36</v>
      </c>
      <c r="C24" s="165"/>
      <c r="D24" s="165"/>
      <c r="E24" s="166"/>
      <c r="F24" s="164" t="s">
        <v>37</v>
      </c>
      <c r="G24" s="165"/>
      <c r="H24" s="165"/>
      <c r="I24" s="165"/>
      <c r="J24" s="166"/>
      <c r="K24" s="164" t="s">
        <v>38</v>
      </c>
      <c r="L24" s="166"/>
    </row>
    <row r="25" spans="2:27" ht="15.75" thickBot="1" x14ac:dyDescent="0.3">
      <c r="B25" s="167"/>
      <c r="C25" s="168"/>
      <c r="D25" s="168"/>
      <c r="E25" s="169"/>
      <c r="F25" s="167"/>
      <c r="G25" s="168"/>
      <c r="H25" s="168"/>
      <c r="I25" s="168"/>
      <c r="J25" s="169"/>
      <c r="K25" s="167"/>
      <c r="L25" s="169"/>
      <c r="N25" s="164" t="s">
        <v>39</v>
      </c>
      <c r="O25" s="165"/>
      <c r="P25" s="165"/>
      <c r="Q25" s="166"/>
      <c r="R25" s="12">
        <v>7</v>
      </c>
    </row>
    <row r="26" spans="2:27" x14ac:dyDescent="0.25">
      <c r="B26" s="159"/>
      <c r="C26" s="156"/>
      <c r="D26" s="156"/>
      <c r="E26" s="160"/>
      <c r="F26" s="159"/>
      <c r="G26" s="156"/>
      <c r="H26" s="156"/>
      <c r="I26" s="156"/>
      <c r="J26" s="160"/>
      <c r="K26" s="159"/>
      <c r="L26" s="160"/>
      <c r="N26" s="167" t="s">
        <v>40</v>
      </c>
      <c r="O26" s="168"/>
      <c r="P26" s="168"/>
      <c r="Q26" s="169"/>
      <c r="R26" s="157">
        <v>2</v>
      </c>
      <c r="S26" s="22"/>
      <c r="T26" s="22"/>
      <c r="U26" s="22"/>
    </row>
    <row r="27" spans="2:27" ht="15.75" thickBot="1" x14ac:dyDescent="0.3">
      <c r="B27" s="159"/>
      <c r="C27" s="156"/>
      <c r="D27" s="156"/>
      <c r="E27" s="160"/>
      <c r="F27" s="159"/>
      <c r="G27" s="156"/>
      <c r="H27" s="156"/>
      <c r="I27" s="156"/>
      <c r="J27" s="160"/>
      <c r="K27" s="159"/>
      <c r="L27" s="160"/>
      <c r="N27" s="161"/>
      <c r="O27" s="162"/>
      <c r="P27" s="162"/>
      <c r="Q27" s="163"/>
      <c r="R27" s="158"/>
      <c r="S27" s="22"/>
      <c r="T27" s="22"/>
      <c r="U27" s="22"/>
    </row>
    <row r="28" spans="2:27" ht="15.75" thickBot="1" x14ac:dyDescent="0.3">
      <c r="B28" s="161"/>
      <c r="C28" s="162"/>
      <c r="D28" s="162"/>
      <c r="E28" s="163"/>
      <c r="F28" s="161"/>
      <c r="G28" s="162"/>
      <c r="H28" s="162"/>
      <c r="I28" s="162"/>
      <c r="J28" s="163"/>
      <c r="K28" s="161"/>
      <c r="L28" s="163"/>
      <c r="N28" s="164" t="s">
        <v>41</v>
      </c>
      <c r="O28" s="165"/>
      <c r="P28" s="165"/>
      <c r="Q28" s="166"/>
      <c r="R28" s="12">
        <v>6</v>
      </c>
    </row>
    <row r="29" spans="2:27" ht="15.75" thickBot="1" x14ac:dyDescent="0.3">
      <c r="N29" s="164" t="s">
        <v>145</v>
      </c>
      <c r="O29" s="165"/>
      <c r="P29" s="165"/>
      <c r="Q29" s="166"/>
      <c r="R29" s="12">
        <v>4</v>
      </c>
    </row>
    <row r="30" spans="2:27" ht="15.75" thickBot="1" x14ac:dyDescent="0.3">
      <c r="N30" s="164" t="s">
        <v>43</v>
      </c>
      <c r="O30" s="165"/>
      <c r="P30" s="165"/>
      <c r="Q30" s="166"/>
      <c r="R30" s="78">
        <v>0</v>
      </c>
    </row>
  </sheetData>
  <mergeCells count="31">
    <mergeCell ref="B1:AA4"/>
    <mergeCell ref="B5:AA5"/>
    <mergeCell ref="B6:B7"/>
    <mergeCell ref="C6:C7"/>
    <mergeCell ref="E6:G6"/>
    <mergeCell ref="H6:I6"/>
    <mergeCell ref="J6:K6"/>
    <mergeCell ref="L6:O6"/>
    <mergeCell ref="Q6:Q7"/>
    <mergeCell ref="R6:U6"/>
    <mergeCell ref="V6:Y6"/>
    <mergeCell ref="Z6:Z7"/>
    <mergeCell ref="AA6:AA7"/>
    <mergeCell ref="B23:Q23"/>
    <mergeCell ref="B24:E24"/>
    <mergeCell ref="F24:J24"/>
    <mergeCell ref="K24:L24"/>
    <mergeCell ref="N30:Q30"/>
    <mergeCell ref="B25:E25"/>
    <mergeCell ref="F25:J25"/>
    <mergeCell ref="K25:L25"/>
    <mergeCell ref="N25:Q25"/>
    <mergeCell ref="B26:E26"/>
    <mergeCell ref="F26:J28"/>
    <mergeCell ref="K26:L28"/>
    <mergeCell ref="N26:Q27"/>
    <mergeCell ref="R26:R27"/>
    <mergeCell ref="B27:E27"/>
    <mergeCell ref="B28:E28"/>
    <mergeCell ref="N28:Q28"/>
    <mergeCell ref="N29:Q2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AISHWARYA</vt:lpstr>
      <vt:lpstr>BHUVANA</vt:lpstr>
      <vt:lpstr>TUFAIL</vt:lpstr>
      <vt:lpstr>AJITH</vt:lpstr>
      <vt:lpstr>YASHAS</vt:lpstr>
      <vt:lpstr>VISHNU</vt:lpstr>
      <vt:lpstr>VINAY</vt:lpstr>
      <vt:lpstr>SRINIVASULU</vt:lpstr>
      <vt:lpstr>VENGABABU</vt:lpstr>
      <vt:lpstr>SHIVAM</vt:lpstr>
      <vt:lpstr>MUGESH</vt:lpstr>
      <vt:lpstr>PALLAVI</vt:lpstr>
      <vt:lpstr>SAIPRASANTH</vt:lpstr>
      <vt:lpstr>SHIVA</vt:lpstr>
      <vt:lpstr>SHARIFF</vt:lpstr>
      <vt:lpstr>SAMPATH</vt:lpstr>
      <vt:lpstr>ROSHNI</vt:lpstr>
      <vt:lpstr>RAVEENDRA</vt:lpstr>
      <vt:lpstr>RAKESH</vt:lpstr>
      <vt:lpstr>PURUSHOTHAM</vt:lpstr>
      <vt:lpstr>LALITH</vt:lpstr>
      <vt:lpstr>HARISH</vt:lpstr>
      <vt:lpstr>HARIPRASATH</vt:lpstr>
      <vt:lpstr>BALAJI</vt:lpstr>
      <vt:lpstr>ASAD</vt:lpstr>
      <vt:lpstr>ARUN</vt:lpstr>
      <vt:lpstr>ARJUN</vt:lpstr>
      <vt:lpstr>CHARAN</vt:lpstr>
      <vt:lpstr>KAVYA</vt:lpstr>
      <vt:lpstr>ROSHAN</vt:lpstr>
      <vt:lpstr>PAVAN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G.</dc:creator>
  <cp:lastModifiedBy>Rao Sai Prasanth</cp:lastModifiedBy>
  <dcterms:created xsi:type="dcterms:W3CDTF">2025-07-07T06:23:39Z</dcterms:created>
  <dcterms:modified xsi:type="dcterms:W3CDTF">2025-08-04T09:30:05Z</dcterms:modified>
</cp:coreProperties>
</file>