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66925"/>
  <mc:AlternateContent xmlns:mc="http://schemas.openxmlformats.org/markup-compatibility/2006">
    <mc:Choice Requires="x15">
      <x15ac:absPath xmlns:x15ac="http://schemas.microsoft.com/office/spreadsheetml/2010/11/ac" url="Y:\2024-2025\DEPT REPORTS\SPOC REPORTS\JULY-2025\"/>
    </mc:Choice>
  </mc:AlternateContent>
  <xr:revisionPtr revIDLastSave="0" documentId="13_ncr:1_{20F93352-4188-4B5A-BAC2-3B6D1A3ACD3D}" xr6:coauthVersionLast="47" xr6:coauthVersionMax="47" xr10:uidLastSave="{00000000-0000-0000-0000-000000000000}"/>
  <bookViews>
    <workbookView xWindow="-120" yWindow="-120" windowWidth="20730" windowHeight="11040" activeTab="10" xr2:uid="{7F3DE114-81A3-46E7-8BB9-B2244DEB7C76}"/>
  </bookViews>
  <sheets>
    <sheet name="aug" sheetId="1" r:id="rId1"/>
    <sheet name="sep" sheetId="2" r:id="rId2"/>
    <sheet name="oct" sheetId="3" r:id="rId3"/>
    <sheet name="nov" sheetId="4" r:id="rId4"/>
    <sheet name="dec" sheetId="5" r:id="rId5"/>
    <sheet name="jan" sheetId="6" r:id="rId6"/>
    <sheet name="feb" sheetId="7" r:id="rId7"/>
    <sheet name="mar" sheetId="8" r:id="rId8"/>
    <sheet name="apr" sheetId="9" r:id="rId9"/>
    <sheet name="may" sheetId="10" r:id="rId10"/>
    <sheet name="june" sheetId="11" r:id="rId1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37" i="11" l="1"/>
  <c r="S37" i="11"/>
  <c r="R37" i="11"/>
  <c r="Q37" i="11"/>
  <c r="O37" i="11"/>
  <c r="N37" i="11"/>
  <c r="M37" i="11"/>
  <c r="L37" i="11"/>
  <c r="K37" i="11"/>
  <c r="J37" i="11"/>
  <c r="I37" i="11"/>
  <c r="H37" i="11"/>
  <c r="F37" i="11"/>
  <c r="E37" i="11"/>
  <c r="G37" i="11" s="1"/>
  <c r="D37" i="11"/>
  <c r="G31" i="11"/>
  <c r="G30" i="11"/>
  <c r="G29" i="11"/>
  <c r="G28" i="11"/>
  <c r="G27" i="11"/>
  <c r="G26" i="11"/>
  <c r="G25" i="11"/>
  <c r="G24" i="11"/>
  <c r="G23" i="11"/>
  <c r="G22" i="11"/>
  <c r="G21" i="11"/>
  <c r="G20" i="11"/>
  <c r="G19" i="11"/>
  <c r="G18" i="11"/>
  <c r="G17" i="11"/>
  <c r="G16" i="11"/>
  <c r="G15" i="11"/>
  <c r="G14" i="11"/>
  <c r="G13" i="11"/>
  <c r="G12" i="11"/>
  <c r="G11" i="11"/>
  <c r="G10" i="11"/>
  <c r="G9" i="11"/>
  <c r="G8" i="11"/>
  <c r="G7" i="11"/>
  <c r="P6" i="11"/>
  <c r="P37" i="11" s="1"/>
  <c r="G6" i="11"/>
  <c r="G5" i="11"/>
  <c r="T35" i="10" l="1"/>
  <c r="S35" i="10"/>
  <c r="R35" i="10"/>
  <c r="Q35" i="10"/>
  <c r="P35" i="10"/>
  <c r="O35" i="10"/>
  <c r="N35" i="10"/>
  <c r="M35" i="10"/>
  <c r="L35" i="10"/>
  <c r="K35" i="10"/>
  <c r="J35" i="10"/>
  <c r="I35" i="10"/>
  <c r="H35" i="10"/>
  <c r="F35" i="10"/>
  <c r="E35" i="10"/>
  <c r="G35" i="10" s="1"/>
  <c r="D35" i="10"/>
  <c r="G34" i="10"/>
  <c r="G33" i="10"/>
  <c r="G32" i="10"/>
  <c r="G31" i="10"/>
  <c r="G30" i="10"/>
  <c r="G29" i="10"/>
  <c r="G28" i="10"/>
  <c r="G27" i="10"/>
  <c r="G26" i="10"/>
  <c r="G25" i="10"/>
  <c r="G24" i="10"/>
  <c r="G23" i="10"/>
  <c r="G22" i="10"/>
  <c r="G21" i="10"/>
  <c r="G20" i="10"/>
  <c r="G19" i="10"/>
  <c r="G18" i="10"/>
  <c r="G17" i="10"/>
  <c r="G16" i="10"/>
  <c r="G15" i="10"/>
  <c r="G14" i="10"/>
  <c r="G13" i="10"/>
  <c r="G12" i="10"/>
  <c r="G11" i="10"/>
  <c r="G10" i="10"/>
  <c r="G9" i="10"/>
  <c r="G8" i="10"/>
  <c r="G7" i="10"/>
  <c r="G6" i="10"/>
  <c r="G5" i="10"/>
  <c r="W36" i="9" l="1"/>
  <c r="V36" i="9"/>
  <c r="U36" i="9"/>
  <c r="T36" i="9"/>
  <c r="S36" i="9"/>
  <c r="P36" i="9"/>
  <c r="O36" i="9"/>
  <c r="N36" i="9"/>
  <c r="M36" i="9"/>
  <c r="L36" i="9"/>
  <c r="K36" i="9"/>
  <c r="J36" i="9"/>
  <c r="I36" i="9"/>
  <c r="H36" i="9"/>
  <c r="F36" i="9"/>
  <c r="E36" i="9"/>
  <c r="G36" i="9" s="1"/>
  <c r="D36" i="9"/>
  <c r="G35" i="9"/>
  <c r="G34" i="9"/>
  <c r="G33" i="9"/>
  <c r="G32" i="9"/>
  <c r="G31" i="9"/>
  <c r="G30" i="9"/>
  <c r="G29" i="9"/>
  <c r="G28" i="9"/>
  <c r="G27" i="9"/>
  <c r="G26" i="9"/>
  <c r="G25" i="9"/>
  <c r="G24" i="9"/>
  <c r="G23" i="9"/>
  <c r="G22" i="9"/>
  <c r="G21" i="9"/>
  <c r="G20" i="9"/>
  <c r="G19" i="9"/>
  <c r="G18" i="9"/>
  <c r="G17" i="9"/>
  <c r="G16" i="9"/>
  <c r="G13" i="9"/>
  <c r="G12" i="9"/>
  <c r="G11" i="9"/>
  <c r="G10" i="9"/>
  <c r="G9" i="9"/>
  <c r="G8" i="9"/>
  <c r="G7" i="9"/>
  <c r="G6" i="9"/>
  <c r="T35" i="8" l="1"/>
  <c r="S35" i="8"/>
  <c r="R35" i="8"/>
  <c r="Q35" i="8"/>
  <c r="P35" i="8"/>
  <c r="O35" i="8"/>
  <c r="N35" i="8"/>
  <c r="M35" i="8"/>
  <c r="L35" i="8"/>
  <c r="K35" i="8"/>
  <c r="J35" i="8"/>
  <c r="I35" i="8"/>
  <c r="H35" i="8"/>
  <c r="F35" i="8"/>
  <c r="E35" i="8"/>
  <c r="G35" i="8" s="1"/>
  <c r="D35" i="8"/>
  <c r="G34" i="8"/>
  <c r="G33" i="8"/>
  <c r="G32" i="8"/>
  <c r="G31" i="8"/>
  <c r="G30" i="8"/>
  <c r="G29" i="8"/>
  <c r="G28" i="8"/>
  <c r="G27" i="8"/>
  <c r="G26" i="8"/>
  <c r="G25" i="8"/>
  <c r="G24" i="8"/>
  <c r="G23" i="8"/>
  <c r="G22" i="8"/>
  <c r="G21" i="8"/>
  <c r="G20" i="8"/>
  <c r="G19" i="8"/>
  <c r="G18" i="8"/>
  <c r="G17" i="8"/>
  <c r="G16" i="8"/>
  <c r="G15" i="8"/>
  <c r="G14" i="8"/>
  <c r="G13" i="8"/>
  <c r="G12" i="8"/>
  <c r="G11" i="8"/>
  <c r="G10" i="8"/>
  <c r="G9" i="8"/>
  <c r="G8" i="8"/>
  <c r="G7" i="8"/>
  <c r="G6" i="8"/>
  <c r="G5" i="8"/>
  <c r="T31" i="7" l="1"/>
  <c r="S31" i="7"/>
  <c r="R31" i="7"/>
  <c r="Q31" i="7"/>
  <c r="P31" i="7"/>
  <c r="O31" i="7"/>
  <c r="N31" i="7"/>
  <c r="M31" i="7"/>
  <c r="L31" i="7"/>
  <c r="K31" i="7"/>
  <c r="J31" i="7"/>
  <c r="I31" i="7"/>
  <c r="H31" i="7"/>
  <c r="F31" i="7"/>
  <c r="E31" i="7"/>
  <c r="G31" i="7" s="1"/>
  <c r="D31" i="7"/>
  <c r="G29" i="7"/>
  <c r="G28" i="7"/>
  <c r="G27" i="7"/>
  <c r="G26" i="7"/>
  <c r="G25" i="7"/>
  <c r="G24" i="7"/>
  <c r="G23" i="7"/>
  <c r="G22" i="7"/>
  <c r="G21" i="7"/>
  <c r="G20" i="7"/>
  <c r="G19" i="7"/>
  <c r="G18" i="7"/>
  <c r="G17" i="7"/>
  <c r="G16" i="7"/>
  <c r="G15" i="7"/>
  <c r="G14" i="7"/>
  <c r="G13" i="7"/>
  <c r="G12" i="7"/>
  <c r="G11" i="7"/>
  <c r="G10" i="7"/>
  <c r="G9" i="7"/>
  <c r="G8" i="7"/>
  <c r="G7" i="7"/>
  <c r="G6" i="7"/>
  <c r="G5" i="7"/>
  <c r="E35" i="6" l="1"/>
  <c r="T29" i="6"/>
  <c r="S29" i="6"/>
  <c r="R29" i="6"/>
  <c r="Q29" i="6"/>
  <c r="P29" i="6"/>
  <c r="O29" i="6"/>
  <c r="N29" i="6"/>
  <c r="M29" i="6"/>
  <c r="L29" i="6"/>
  <c r="K29" i="6"/>
  <c r="J29" i="6"/>
  <c r="I29" i="6"/>
  <c r="H29" i="6"/>
  <c r="F29" i="6"/>
  <c r="E29" i="6"/>
  <c r="G29" i="6" s="1"/>
  <c r="D29" i="6"/>
  <c r="G28" i="6"/>
  <c r="G27" i="6"/>
  <c r="G26" i="6"/>
  <c r="G25" i="6"/>
  <c r="G24" i="6"/>
  <c r="G23" i="6"/>
  <c r="G22" i="6"/>
  <c r="G21" i="6"/>
  <c r="G20" i="6"/>
  <c r="G19" i="6"/>
  <c r="G18" i="6"/>
  <c r="G17" i="6"/>
  <c r="G16" i="6"/>
  <c r="G15" i="6"/>
  <c r="G14" i="6"/>
  <c r="G13" i="6"/>
  <c r="G12" i="6"/>
  <c r="G11" i="6"/>
  <c r="G10" i="6"/>
  <c r="G9" i="6"/>
  <c r="G8" i="6"/>
  <c r="G7" i="6"/>
  <c r="G6" i="6"/>
  <c r="G5" i="6"/>
  <c r="E35" i="5" l="1"/>
  <c r="T29" i="5"/>
  <c r="S29" i="5"/>
  <c r="R29" i="5"/>
  <c r="Q29" i="5"/>
  <c r="P29" i="5"/>
  <c r="O29" i="5"/>
  <c r="N29" i="5"/>
  <c r="M29" i="5"/>
  <c r="L29" i="5"/>
  <c r="K29" i="5"/>
  <c r="J29" i="5"/>
  <c r="I29" i="5"/>
  <c r="H29" i="5"/>
  <c r="F29" i="5"/>
  <c r="E29" i="5"/>
  <c r="G29" i="5" s="1"/>
  <c r="D29" i="5"/>
  <c r="G28" i="5"/>
  <c r="G27" i="5"/>
  <c r="G26" i="5"/>
  <c r="G25" i="5"/>
  <c r="G24" i="5"/>
  <c r="G23" i="5"/>
  <c r="G22" i="5"/>
  <c r="G21" i="5"/>
  <c r="G20" i="5"/>
  <c r="G19" i="5"/>
  <c r="G18" i="5"/>
  <c r="G17" i="5"/>
  <c r="G16" i="5"/>
  <c r="G15" i="5"/>
  <c r="G14" i="5"/>
  <c r="G13" i="5"/>
  <c r="G12" i="5"/>
  <c r="G11" i="5"/>
  <c r="G10" i="5"/>
  <c r="G9" i="5"/>
  <c r="G8" i="5"/>
  <c r="G7" i="5"/>
  <c r="G6" i="5"/>
  <c r="G5" i="5"/>
  <c r="D35" i="4" l="1"/>
  <c r="S29" i="4"/>
  <c r="R29" i="4"/>
  <c r="Q29" i="4"/>
  <c r="P29" i="4"/>
  <c r="O29" i="4"/>
  <c r="N29" i="4"/>
  <c r="M29" i="4"/>
  <c r="L29" i="4"/>
  <c r="K29" i="4"/>
  <c r="J29" i="4"/>
  <c r="I29" i="4"/>
  <c r="H29" i="4"/>
  <c r="G29" i="4"/>
  <c r="E29" i="4"/>
  <c r="D29" i="4"/>
  <c r="F29" i="4" s="1"/>
  <c r="F28" i="4"/>
  <c r="F27" i="4"/>
  <c r="F25" i="4"/>
  <c r="F24" i="4"/>
  <c r="F23" i="4"/>
  <c r="F22" i="4"/>
  <c r="F21" i="4"/>
  <c r="F20" i="4"/>
  <c r="F19" i="4"/>
  <c r="F18" i="4"/>
  <c r="F17" i="4"/>
  <c r="F16" i="4"/>
  <c r="F15" i="4"/>
  <c r="F14" i="4"/>
  <c r="F13" i="4"/>
  <c r="F12" i="4"/>
  <c r="F11" i="4"/>
  <c r="F10" i="4"/>
  <c r="F9" i="4"/>
  <c r="F8" i="4"/>
  <c r="F7" i="4"/>
  <c r="F6" i="4"/>
  <c r="F5" i="4"/>
  <c r="E35" i="3" l="1"/>
  <c r="T29" i="3"/>
  <c r="S29" i="3"/>
  <c r="R29" i="3"/>
  <c r="Q29" i="3"/>
  <c r="P29" i="3"/>
  <c r="O29" i="3"/>
  <c r="N29" i="3"/>
  <c r="M29" i="3"/>
  <c r="L29" i="3"/>
  <c r="K29" i="3"/>
  <c r="J29" i="3"/>
  <c r="I29" i="3"/>
  <c r="H29" i="3"/>
  <c r="F29" i="3"/>
  <c r="E29" i="3"/>
  <c r="G29" i="3" s="1"/>
  <c r="D29" i="3"/>
  <c r="G28" i="3"/>
  <c r="G27" i="3"/>
  <c r="G25" i="3"/>
  <c r="G24" i="3"/>
  <c r="G23" i="3"/>
  <c r="G22" i="3"/>
  <c r="G21" i="3"/>
  <c r="G20" i="3"/>
  <c r="G19" i="3"/>
  <c r="G18" i="3"/>
  <c r="G17" i="3"/>
  <c r="G16" i="3"/>
  <c r="G15" i="3"/>
  <c r="G14" i="3"/>
  <c r="G13" i="3"/>
  <c r="G12" i="3"/>
  <c r="G11" i="3"/>
  <c r="G10" i="3"/>
  <c r="G9" i="3"/>
  <c r="G8" i="3"/>
  <c r="G7" i="3"/>
  <c r="G6" i="3"/>
  <c r="G5" i="3"/>
  <c r="T28" i="2" l="1"/>
  <c r="S28" i="2"/>
  <c r="R28" i="2"/>
  <c r="Q28" i="2"/>
  <c r="P28" i="2"/>
  <c r="O28" i="2"/>
  <c r="N28" i="2"/>
  <c r="M28" i="2"/>
  <c r="L28" i="2"/>
  <c r="K28" i="2"/>
  <c r="J28" i="2"/>
  <c r="I28" i="2"/>
  <c r="H28" i="2"/>
  <c r="F28" i="2"/>
  <c r="E28" i="2"/>
  <c r="G28" i="2" s="1"/>
  <c r="D28" i="2"/>
  <c r="G27" i="2"/>
  <c r="G26" i="2"/>
  <c r="G25" i="2"/>
  <c r="G24" i="2"/>
  <c r="G23" i="2"/>
  <c r="G22" i="2"/>
  <c r="G21" i="2"/>
  <c r="G20" i="2"/>
  <c r="G19" i="2"/>
  <c r="G18" i="2"/>
  <c r="G17" i="2"/>
  <c r="G16" i="2"/>
  <c r="G15" i="2"/>
  <c r="G14" i="2"/>
  <c r="G13" i="2"/>
  <c r="G12" i="2"/>
  <c r="G11" i="2"/>
  <c r="G10" i="2"/>
  <c r="G9" i="2"/>
  <c r="G8" i="2"/>
  <c r="G7" i="2"/>
  <c r="G6" i="2"/>
  <c r="G5" i="2"/>
  <c r="Q24" i="1" l="1"/>
  <c r="P24" i="1"/>
  <c r="O24" i="1"/>
  <c r="N24" i="1"/>
  <c r="M24" i="1"/>
  <c r="L24" i="1"/>
  <c r="K24" i="1"/>
  <c r="J24" i="1"/>
  <c r="H24" i="1"/>
  <c r="G24" i="1"/>
  <c r="F24" i="1"/>
  <c r="E24" i="1"/>
  <c r="D24" i="1"/>
  <c r="C24" i="1"/>
  <c r="E23" i="1"/>
  <c r="E22" i="1"/>
  <c r="E21" i="1"/>
  <c r="E20" i="1"/>
  <c r="E19" i="1"/>
  <c r="E18" i="1"/>
  <c r="E16" i="1"/>
  <c r="E14" i="1"/>
  <c r="E13" i="1"/>
  <c r="E12" i="1"/>
  <c r="E6" i="1"/>
  <c r="N5" i="1"/>
  <c r="E5" i="1"/>
</calcChain>
</file>

<file path=xl/sharedStrings.xml><?xml version="1.0" encoding="utf-8"?>
<sst xmlns="http://schemas.openxmlformats.org/spreadsheetml/2006/main" count="1080" uniqueCount="187">
  <si>
    <t>CSE Dev IDV - AUG 2024 Report</t>
  </si>
  <si>
    <t>S.No.</t>
  </si>
  <si>
    <t>Developer Name</t>
  </si>
  <si>
    <t>Total Developments</t>
  </si>
  <si>
    <t>Documentation</t>
  </si>
  <si>
    <t>Documentation 
Plag</t>
  </si>
  <si>
    <t>Turnitin</t>
  </si>
  <si>
    <t>ppt</t>
  </si>
  <si>
    <t>Journal</t>
  </si>
  <si>
    <t>Abstract</t>
  </si>
  <si>
    <t>Permissions</t>
  </si>
  <si>
    <t>Leave</t>
  </si>
  <si>
    <t>Review</t>
  </si>
  <si>
    <t>Execution &amp;
Explanation</t>
  </si>
  <si>
    <t xml:space="preserve"> Supports</t>
  </si>
  <si>
    <t>STATUS</t>
  </si>
  <si>
    <t>COMMNETS</t>
  </si>
  <si>
    <t>Total</t>
  </si>
  <si>
    <t>Business Project (A)</t>
  </si>
  <si>
    <t xml:space="preserve"> Growth 
Project (B)</t>
  </si>
  <si>
    <t>Total 
(A+B)</t>
  </si>
  <si>
    <t>Mod,Semi</t>
  </si>
  <si>
    <t>Bhuvaneshwari</t>
  </si>
  <si>
    <t>1-UGC</t>
  </si>
  <si>
    <t>2 hours</t>
  </si>
  <si>
    <t>Verified</t>
  </si>
  <si>
    <t>Toal dev count: 9(New dev-4(BP), Jornal-1, Extensions:2, turntin doc-3)</t>
  </si>
  <si>
    <t>Adithya</t>
  </si>
  <si>
    <t>1hour</t>
  </si>
  <si>
    <t>6 new dev, 3 turntin plag doc, 1 plag detector doc in takeoff format</t>
  </si>
  <si>
    <t>Raveendra</t>
  </si>
  <si>
    <t>1 hour</t>
  </si>
  <si>
    <t>3 new dev, 1 turntin doc</t>
  </si>
  <si>
    <t>Asadulla</t>
  </si>
  <si>
    <t>5-New dev(business projects)</t>
  </si>
  <si>
    <t>Aishwarya</t>
  </si>
  <si>
    <t>5 New dev(4 BP,1 GP), 1 turntin doc, 3 documents for inventory , 3 ppt for inventory and 2 abstracts for enquiry</t>
  </si>
  <si>
    <t>Preeti</t>
  </si>
  <si>
    <t>1.30 hour</t>
  </si>
  <si>
    <t>3 New dev(2 BP,1 GP) and 3 semi/modifications(BP)</t>
  </si>
  <si>
    <t>Vishnu</t>
  </si>
  <si>
    <t xml:space="preserve"> </t>
  </si>
  <si>
    <t>2hr</t>
  </si>
  <si>
    <t>2.5 dev(2 GP,0.5 Extension), application team titles uploaded on website, spoc works(tasks followups, slots handling)</t>
  </si>
  <si>
    <t>Shiva</t>
  </si>
  <si>
    <t>2(1 UGC, 1 Non-UGC)</t>
  </si>
  <si>
    <t>3.5 new dev, 1 UGC  , 1 Non UGC and 5 abstracts for enquiry purpose</t>
  </si>
  <si>
    <t>Arun kumar</t>
  </si>
  <si>
    <t>4 new developments(3 BP,1 GP), plag documents 1</t>
  </si>
  <si>
    <t>Vinay</t>
  </si>
  <si>
    <t>1.5 New Dev(0.5 GP, 1 Business) and worked on Web team projrct</t>
  </si>
  <si>
    <t>Ram charan</t>
  </si>
  <si>
    <t>2 New Dev(0.5 GP, 1.5 Business) and worked on Web team projrct</t>
  </si>
  <si>
    <t>lalit</t>
  </si>
  <si>
    <t>3 New Dev(3 BP) and worked on web team project</t>
  </si>
  <si>
    <t>Charan</t>
  </si>
  <si>
    <t xml:space="preserve">3 New dev(2 BP,1 GP) </t>
  </si>
  <si>
    <t>Pavan</t>
  </si>
  <si>
    <t>1 new dev(GP) and 1 semi-inventory(BP) and he taken 9 leave due to MBA exams</t>
  </si>
  <si>
    <t>Lakshmi</t>
  </si>
  <si>
    <t>Balaram</t>
  </si>
  <si>
    <t>Roshan</t>
  </si>
  <si>
    <t>Gokul</t>
  </si>
  <si>
    <t>Roshni</t>
  </si>
  <si>
    <t>2hrs</t>
  </si>
  <si>
    <t>CSE - SEP 2024 Report</t>
  </si>
  <si>
    <t>Development 
Target</t>
  </si>
  <si>
    <t>Comments</t>
  </si>
  <si>
    <t>Growth 
Project (B)</t>
  </si>
  <si>
    <t>P.L</t>
  </si>
  <si>
    <t>U.L</t>
  </si>
  <si>
    <t xml:space="preserve">"she worked on 3 new development projects and 2 modification, created 2 documents,and 1 ppt, and completed 2 journal. In September,provided 8 exe&amp;exp  and 38 support, and got 7 reviews."
</t>
  </si>
  <si>
    <t>2hours</t>
  </si>
  <si>
    <t xml:space="preserve">"He worked on 2 new development projects and 1 modification,and completed 1 journal. In September, provided 6 exe&amp;exp  and 13 support, and got 3 reviews.and I took 2 hours permission and 9 leaves in this month"
</t>
  </si>
  <si>
    <t xml:space="preserve">"He worked on 3 new development projects and 1 Growth Project and 2 modification,and completed 1 journal and 2 plag doc. In September,provided 3 exe&amp;exp  and 12 support, and got 1 reviews.and I took 2 hours permission and 1 leaves in this month."
</t>
  </si>
  <si>
    <t>30minutes</t>
  </si>
  <si>
    <t xml:space="preserve">"He worked on 2 new development projects and 1 modification,and completed 3 journal and 4 plag doc. In September,provided 9 exe&amp;exp  and 21 support, and got 6 reviews. and I took 30 minutes permission and 0.5 leaves in this month."
</t>
  </si>
  <si>
    <t>Yashas</t>
  </si>
  <si>
    <t xml:space="preserve">"He worked on 1 new development projects, 2 journal. In September, provided 1 exe&amp;exp  and 6 support, and got 1 reviews."
</t>
  </si>
  <si>
    <t xml:space="preserve">"She worked on 5 new development projects and 1 Growth Project, and 1 modification,and completed 3 plag doc. In September, provided 5 exe&amp;exp and 17 support, and got 3 reviews."
</t>
  </si>
  <si>
    <t>Preethi</t>
  </si>
  <si>
    <t>1.5hours</t>
  </si>
  <si>
    <t xml:space="preserve">"She worked on 1 Growth projects and 3 modification,and completed 1 journal. 2 doc amd 2 ppt and 2 abstract for outsourse. In September, provided 9 exe&amp;exp and 8 support, and got 7 reviews. and I took 1.5 hours permission and 7 leaves in this month."
</t>
  </si>
  <si>
    <t xml:space="preserve">"He worked on 2 new development projects and 2 Growth Projects,and completed 1 journal and 2 Abstracts. In September, provided 4 exe&amp;exp  and 9 support, and got 3 reviews. and I took 1 hour permission and 3.5 leaves in this month."
</t>
  </si>
  <si>
    <t xml:space="preserve">"He worked on 4 new development projects, In September, provided 2 exe&amp;exp and 10 support, and got 1 reviews.and I was working in offline internship"
</t>
  </si>
  <si>
    <t xml:space="preserve">"He worked on 3 new development projects, created 1 plag document,and 1 journal. In September, provided 8 exe&amp;exp  and 23 support, and got 5 reviews."
</t>
  </si>
  <si>
    <t xml:space="preserve">"He worked on 2 new development project, and 1 plag doc,and completed 2 abstract. In September, provided 3 exe&amp;exp and 10 support, and got 1 reviews.and I took 2 leaves and 2 hours permission"
</t>
  </si>
  <si>
    <t xml:space="preserve">"He worked on 2 new development project, and 1 plag doc,In September, provided 5 exe&amp;exp and 10 support, and got 2 reviews.and I took 3 leaves, and 2 hours permission"
</t>
  </si>
  <si>
    <t xml:space="preserve">"He worked on 2 new development project,In September, provided 3 exe&amp;exp and 2 support, and got 1 reviews.and I took 2 hours permission."
</t>
  </si>
  <si>
    <t xml:space="preserve">"He worked on 2 new development projects and 2 modification, created 2 documents,and 1 ppt, and completed 2 journal. In September, provided 8 exe&amp;exp  and 38 support, and got 7 reviews."
</t>
  </si>
  <si>
    <t xml:space="preserve">"She worked on 1 new development projects and 1 modification, In September, provided 0 exe&amp;exp  and 5 support, and got 0 reviews.and took 7 leaves"
</t>
  </si>
  <si>
    <t xml:space="preserve">"He worked on 1 new development projects and In September,  provided 1 exe&amp;exp  and 2 support, and got 0 reviews.and took 1.5 day leave."
</t>
  </si>
  <si>
    <t xml:space="preserve">"He worked on epoc tasks and checking possibility with dev and working on new dev project and I took 2 hours permission and 1.5 day leave and given 2 supports.
</t>
  </si>
  <si>
    <t xml:space="preserve">"She worked on spoc work creating day wise tech team report and maintaining individual dev report and accepting slots day to day and uploading titles and youtube links in website and worked on 2 inventory projects, In September, provided 2 exe&amp;exp  and 6 support, and got 2 reviews. And I took 2 hours permission."
</t>
  </si>
  <si>
    <t>Hariprasath</t>
  </si>
  <si>
    <t>He learned the basics of Python, including advanced topics like object-oriented programming, decorators, and higher-order functions. I have also made good progress in JavaScript, understanding important concepts and practicing them. Additionally, I have completed 80% of my project tasks and feel confident.</t>
  </si>
  <si>
    <t>Devi Sree Vani</t>
  </si>
  <si>
    <t>She watched Python videos and learned about Anaconda installation, basic operations, data structures like sets, tuples, dictionaries, and NumPy. I also explored functions, decorators, file handling, and regular expressions. Additionally, I completed documentation and started working on a PowerPoint presentation.</t>
  </si>
  <si>
    <t>CSE - OCT 2024 Report</t>
  </si>
  <si>
    <t>Harish</t>
  </si>
  <si>
    <t>S.NO</t>
  </si>
  <si>
    <t>NAME</t>
  </si>
  <si>
    <t>ACCEPTED SLOTS</t>
  </si>
  <si>
    <t>CSE - NOV 2024 Report</t>
  </si>
  <si>
    <t>Arun</t>
  </si>
  <si>
    <t>Asad</t>
  </si>
  <si>
    <t>45min</t>
  </si>
  <si>
    <t>Bhuvana</t>
  </si>
  <si>
    <t>1hour15min</t>
  </si>
  <si>
    <t xml:space="preserve">Lalith </t>
  </si>
  <si>
    <t>Ramcharan</t>
  </si>
  <si>
    <t>30min</t>
  </si>
  <si>
    <t>sampath vinay</t>
  </si>
  <si>
    <t>HariPrasath</t>
  </si>
  <si>
    <t>Kavitha</t>
  </si>
  <si>
    <t>Devisreevani</t>
  </si>
  <si>
    <t>Lakshmi mam</t>
  </si>
  <si>
    <t>Balaram sir</t>
  </si>
  <si>
    <t>CSE - Dec 2024 Report</t>
  </si>
  <si>
    <t>-</t>
  </si>
  <si>
    <t>Vamsi</t>
  </si>
  <si>
    <t>1Hour</t>
  </si>
  <si>
    <t>2Hours</t>
  </si>
  <si>
    <t>1.5Hours</t>
  </si>
  <si>
    <t>30Min</t>
  </si>
  <si>
    <t>Rakesh</t>
  </si>
  <si>
    <t>Tufail</t>
  </si>
  <si>
    <t>CSE - Feb 2025 Report</t>
  </si>
  <si>
    <t>Purushotham</t>
  </si>
  <si>
    <t>Arjun</t>
  </si>
  <si>
    <t>Shariff</t>
  </si>
  <si>
    <t>1.5hour</t>
  </si>
  <si>
    <t>CSE - March 2025 Report</t>
  </si>
  <si>
    <t>2 Hours</t>
  </si>
  <si>
    <t>1.5 HOURS</t>
  </si>
  <si>
    <t>2 HOURS</t>
  </si>
  <si>
    <t>1 HOUR</t>
  </si>
  <si>
    <t>Ajit</t>
  </si>
  <si>
    <t>Balaji</t>
  </si>
  <si>
    <t>Rafi</t>
  </si>
  <si>
    <t>Kavya</t>
  </si>
  <si>
    <t>CSE - April 2025 Report</t>
  </si>
  <si>
    <t xml:space="preserve">Total </t>
  </si>
  <si>
    <t>Documentation 
Turnitin</t>
  </si>
  <si>
    <t>semi</t>
  </si>
  <si>
    <t>modi</t>
  </si>
  <si>
    <t>Fontend</t>
  </si>
  <si>
    <t>Backend</t>
  </si>
  <si>
    <t>UGC</t>
  </si>
  <si>
    <t>NON UGC</t>
  </si>
  <si>
    <t>19.8+1+1.5+5</t>
  </si>
  <si>
    <t>1.5hrs</t>
  </si>
  <si>
    <t>_</t>
  </si>
  <si>
    <t>6.8+6.3</t>
  </si>
  <si>
    <t>4+5.3</t>
  </si>
  <si>
    <t>10.5+1+2+4.6</t>
  </si>
  <si>
    <t>8+2.3</t>
  </si>
  <si>
    <t>0.5hrs</t>
  </si>
  <si>
    <t>9.3+3.3</t>
  </si>
  <si>
    <t>4+1</t>
  </si>
  <si>
    <t>1.6+3</t>
  </si>
  <si>
    <t>5+5</t>
  </si>
  <si>
    <t>5.3+4.3</t>
  </si>
  <si>
    <t>5+2+2.6</t>
  </si>
  <si>
    <t>5.1+2</t>
  </si>
  <si>
    <t>2.5+2.3</t>
  </si>
  <si>
    <t>3.5+1</t>
  </si>
  <si>
    <t>1hrs</t>
  </si>
  <si>
    <t>1+5.3</t>
  </si>
  <si>
    <t>2+1.5+2.6</t>
  </si>
  <si>
    <t>1.5+2.5+2.3</t>
  </si>
  <si>
    <t>1.5+2+1.6</t>
  </si>
  <si>
    <t>1+5</t>
  </si>
  <si>
    <t>5+5.3</t>
  </si>
  <si>
    <t>3.3+2.3</t>
  </si>
  <si>
    <t>Srinivasulu</t>
  </si>
  <si>
    <t>CSE - MAY 2025 Report</t>
  </si>
  <si>
    <t>2Hour</t>
  </si>
  <si>
    <t>45Min</t>
  </si>
  <si>
    <t>Pavitra</t>
  </si>
  <si>
    <t>Jashwanth</t>
  </si>
  <si>
    <t>CSE - JUNE 2025 Report</t>
  </si>
  <si>
    <t>pallavi</t>
  </si>
  <si>
    <t>Sai prasanth</t>
  </si>
  <si>
    <t>Shivam</t>
  </si>
  <si>
    <t>Veaga Babu</t>
  </si>
  <si>
    <t>mugesh kanna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</si>
</sst>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2"/>
      <color theme="1"/>
      <name val="Times New Roman"/>
      <family val="1"/>
    </font>
    <font>
      <b/>
      <sz val="12"/>
      <color theme="1"/>
      <name val="Calibri"/>
      <family val="2"/>
      <scheme val="minor"/>
    </font>
    <font>
      <b/>
      <sz val="12"/>
      <color rgb="FFFF0000"/>
      <name val="Times New Roman"/>
      <family val="1"/>
    </font>
    <font>
      <b/>
      <sz val="12"/>
      <name val="Times New Roman"/>
      <family val="1"/>
    </font>
    <font>
      <sz val="11"/>
      <color rgb="FF000000"/>
      <name val="Calibri"/>
      <family val="2"/>
    </font>
    <font>
      <sz val="11"/>
      <name val="Calibri"/>
      <family val="2"/>
    </font>
    <font>
      <b/>
      <sz val="18"/>
      <color theme="1"/>
      <name val="Arial"/>
      <family val="2"/>
    </font>
    <font>
      <sz val="11"/>
      <color theme="1"/>
      <name val="Arial"/>
      <family val="2"/>
    </font>
    <font>
      <b/>
      <sz val="12"/>
      <color theme="1"/>
      <name val="Arial"/>
      <family val="2"/>
    </font>
    <font>
      <b/>
      <sz val="12"/>
      <name val="Arial"/>
      <family val="2"/>
    </font>
    <font>
      <b/>
      <sz val="12"/>
      <color rgb="FFFF0000"/>
      <name val="Arial"/>
      <family val="2"/>
    </font>
    <font>
      <sz val="12"/>
      <name val="Arial"/>
      <family val="2"/>
    </font>
    <font>
      <sz val="12"/>
      <color theme="1"/>
      <name val="Arial"/>
      <family val="2"/>
    </font>
    <font>
      <sz val="12"/>
      <color rgb="FFFF0000"/>
      <name val="Arial"/>
      <family val="2"/>
    </font>
    <font>
      <sz val="11"/>
      <color rgb="FFFF0000"/>
      <name val="Arial"/>
      <family val="2"/>
    </font>
    <font>
      <sz val="13"/>
      <color theme="1"/>
      <name val="Calibri"/>
      <family val="2"/>
      <scheme val="minor"/>
    </font>
  </fonts>
  <fills count="12">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rgb="FFD888A6"/>
        <bgColor indexed="64"/>
      </patternFill>
    </fill>
    <fill>
      <patternFill patternType="solid">
        <fgColor theme="0"/>
        <bgColor indexed="64"/>
      </patternFill>
    </fill>
    <fill>
      <patternFill patternType="solid">
        <fgColor theme="6" tint="0.79998168889431442"/>
        <bgColor indexed="64"/>
      </patternFill>
    </fill>
    <fill>
      <patternFill patternType="solid">
        <fgColor theme="7" tint="0.59999389629810485"/>
        <bgColor indexed="64"/>
      </patternFill>
    </fill>
  </fills>
  <borders count="6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bottom style="double">
        <color indexed="64"/>
      </bottom>
      <diagonal/>
    </border>
    <border>
      <left/>
      <right style="medium">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bottom style="medium">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right style="medium">
        <color indexed="64"/>
      </right>
      <top/>
      <bottom/>
      <diagonal/>
    </border>
    <border>
      <left style="medium">
        <color indexed="64"/>
      </left>
      <right style="thin">
        <color indexed="64"/>
      </right>
      <top/>
      <bottom/>
      <diagonal/>
    </border>
    <border>
      <left/>
      <right style="medium">
        <color indexed="64"/>
      </right>
      <top style="thin">
        <color indexed="64"/>
      </top>
      <bottom/>
      <diagonal/>
    </border>
  </borders>
  <cellStyleXfs count="9">
    <xf numFmtId="0" fontId="0"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cellStyleXfs>
  <cellXfs count="305">
    <xf numFmtId="0" fontId="0" fillId="0" borderId="0" xfId="0"/>
    <xf numFmtId="49" fontId="1" fillId="2" borderId="1"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49" fontId="1" fillId="2" borderId="3" xfId="0" applyNumberFormat="1" applyFont="1" applyFill="1" applyBorder="1" applyAlignment="1">
      <alignment horizontal="center" vertical="center"/>
    </xf>
    <xf numFmtId="0" fontId="2" fillId="0" borderId="0" xfId="0" applyFont="1"/>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4" borderId="6"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9" xfId="0" applyFont="1" applyFill="1" applyBorder="1" applyAlignment="1">
      <alignment horizontal="center" vertical="center"/>
    </xf>
    <xf numFmtId="0" fontId="1" fillId="6" borderId="9" xfId="0" applyFont="1" applyFill="1" applyBorder="1" applyAlignment="1">
      <alignment horizontal="center" vertical="center" wrapText="1"/>
    </xf>
    <xf numFmtId="0" fontId="1" fillId="6" borderId="11" xfId="0" applyFont="1" applyFill="1" applyBorder="1" applyAlignment="1">
      <alignment horizontal="center" vertical="center" wrapText="1"/>
    </xf>
    <xf numFmtId="0" fontId="1" fillId="7" borderId="10" xfId="0" applyFont="1" applyFill="1" applyBorder="1" applyAlignment="1">
      <alignment horizontal="center" vertical="center"/>
    </xf>
    <xf numFmtId="0" fontId="1" fillId="7" borderId="10" xfId="0" applyFont="1" applyFill="1" applyBorder="1" applyAlignment="1">
      <alignment horizontal="center" vertical="center" wrapText="1"/>
    </xf>
    <xf numFmtId="0" fontId="1" fillId="8" borderId="12"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14" xfId="0" applyFont="1" applyFill="1" applyBorder="1" applyAlignment="1">
      <alignment horizontal="center" vertical="center"/>
    </xf>
    <xf numFmtId="0" fontId="1" fillId="4" borderId="15"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7" xfId="0" applyFont="1" applyFill="1" applyBorder="1" applyAlignment="1">
      <alignment horizontal="center" vertical="center" wrapText="1"/>
    </xf>
    <xf numFmtId="0" fontId="1" fillId="5" borderId="16" xfId="0" applyFont="1" applyFill="1" applyBorder="1" applyAlignment="1">
      <alignment horizontal="center" vertical="center"/>
    </xf>
    <xf numFmtId="0" fontId="1" fillId="6" borderId="16" xfId="0" applyFont="1" applyFill="1" applyBorder="1" applyAlignment="1">
      <alignment horizontal="center" vertical="center" wrapText="1"/>
    </xf>
    <xf numFmtId="0" fontId="1" fillId="6" borderId="18" xfId="0" applyFont="1" applyFill="1" applyBorder="1" applyAlignment="1">
      <alignment horizontal="center" vertical="center" wrapText="1"/>
    </xf>
    <xf numFmtId="0" fontId="1" fillId="7" borderId="17" xfId="0" applyFont="1" applyFill="1" applyBorder="1" applyAlignment="1">
      <alignment horizontal="center" vertical="center"/>
    </xf>
    <xf numFmtId="0" fontId="1" fillId="7" borderId="17" xfId="0" applyFont="1" applyFill="1" applyBorder="1" applyAlignment="1">
      <alignment horizontal="center" vertical="center" wrapText="1"/>
    </xf>
    <xf numFmtId="0" fontId="1" fillId="8" borderId="17" xfId="0" applyFont="1" applyFill="1" applyBorder="1" applyAlignment="1">
      <alignment horizontal="center" vertical="center"/>
    </xf>
    <xf numFmtId="0" fontId="4" fillId="0" borderId="19" xfId="0" applyFont="1" applyBorder="1" applyAlignment="1">
      <alignment horizontal="center"/>
    </xf>
    <xf numFmtId="0" fontId="1" fillId="0" borderId="20" xfId="0" applyFont="1" applyBorder="1" applyAlignment="1">
      <alignment vertical="center"/>
    </xf>
    <xf numFmtId="0" fontId="1" fillId="4" borderId="9" xfId="0" applyFont="1" applyFill="1" applyBorder="1" applyAlignment="1">
      <alignment horizontal="center"/>
    </xf>
    <xf numFmtId="0" fontId="3" fillId="4" borderId="9" xfId="0" applyFont="1" applyFill="1" applyBorder="1" applyAlignment="1">
      <alignment horizontal="center"/>
    </xf>
    <xf numFmtId="0" fontId="4" fillId="5" borderId="9" xfId="0" applyFont="1" applyFill="1" applyBorder="1" applyAlignment="1">
      <alignment horizontal="center"/>
    </xf>
    <xf numFmtId="0" fontId="1" fillId="6" borderId="9" xfId="0" applyFont="1" applyFill="1" applyBorder="1" applyAlignment="1">
      <alignment horizontal="center"/>
    </xf>
    <xf numFmtId="0" fontId="1" fillId="6" borderId="21" xfId="0" applyFont="1" applyFill="1" applyBorder="1" applyAlignment="1">
      <alignment horizontal="center"/>
    </xf>
    <xf numFmtId="0" fontId="1" fillId="7" borderId="5" xfId="0" applyFont="1" applyFill="1" applyBorder="1"/>
    <xf numFmtId="0" fontId="1" fillId="7" borderId="22" xfId="0" applyFont="1" applyFill="1" applyBorder="1" applyAlignment="1">
      <alignment wrapText="1"/>
    </xf>
    <xf numFmtId="0" fontId="1" fillId="8" borderId="5" xfId="0" applyFont="1" applyFill="1" applyBorder="1" applyAlignment="1">
      <alignment horizontal="center" vertical="center"/>
    </xf>
    <xf numFmtId="0" fontId="1" fillId="0" borderId="23" xfId="0" applyFont="1" applyBorder="1" applyAlignment="1">
      <alignment vertical="center"/>
    </xf>
    <xf numFmtId="0" fontId="3" fillId="4" borderId="24" xfId="0" applyFont="1" applyFill="1" applyBorder="1" applyAlignment="1">
      <alignment horizontal="center"/>
    </xf>
    <xf numFmtId="0" fontId="1" fillId="4" borderId="24" xfId="0" applyFont="1" applyFill="1" applyBorder="1" applyAlignment="1">
      <alignment horizontal="center"/>
    </xf>
    <xf numFmtId="0" fontId="4" fillId="5" borderId="24" xfId="0" applyFont="1" applyFill="1" applyBorder="1" applyAlignment="1">
      <alignment horizontal="center"/>
    </xf>
    <xf numFmtId="0" fontId="1" fillId="6" borderId="24" xfId="0" applyFont="1" applyFill="1" applyBorder="1" applyAlignment="1">
      <alignment horizontal="center"/>
    </xf>
    <xf numFmtId="0" fontId="1" fillId="6" borderId="25" xfId="0" applyFont="1" applyFill="1" applyBorder="1" applyAlignment="1">
      <alignment horizontal="center"/>
    </xf>
    <xf numFmtId="0" fontId="1" fillId="7" borderId="19" xfId="0" applyFont="1" applyFill="1" applyBorder="1"/>
    <xf numFmtId="0" fontId="1" fillId="7" borderId="26" xfId="0" applyFont="1" applyFill="1" applyBorder="1" applyAlignment="1">
      <alignment wrapText="1"/>
    </xf>
    <xf numFmtId="0" fontId="1" fillId="8" borderId="19" xfId="0" applyFont="1" applyFill="1" applyBorder="1" applyAlignment="1">
      <alignment horizontal="center" vertical="center"/>
    </xf>
    <xf numFmtId="0" fontId="1" fillId="9" borderId="23" xfId="0" applyFont="1" applyFill="1" applyBorder="1" applyAlignment="1">
      <alignment horizontal="left" vertical="center"/>
    </xf>
    <xf numFmtId="0" fontId="1" fillId="10" borderId="24" xfId="0" applyFont="1" applyFill="1" applyBorder="1" applyAlignment="1">
      <alignment horizontal="center"/>
    </xf>
    <xf numFmtId="0" fontId="4" fillId="9" borderId="23" xfId="0" applyFont="1" applyFill="1" applyBorder="1" applyAlignment="1">
      <alignment vertical="center"/>
    </xf>
    <xf numFmtId="0" fontId="4" fillId="4" borderId="24" xfId="0" applyFont="1" applyFill="1" applyBorder="1" applyAlignment="1">
      <alignment horizontal="center"/>
    </xf>
    <xf numFmtId="0" fontId="4" fillId="5" borderId="10" xfId="0" applyFont="1" applyFill="1" applyBorder="1" applyAlignment="1">
      <alignment horizontal="center"/>
    </xf>
    <xf numFmtId="0" fontId="1" fillId="0" borderId="27" xfId="0" applyFont="1" applyBorder="1" applyAlignment="1">
      <alignment horizontal="left" vertical="center"/>
    </xf>
    <xf numFmtId="0" fontId="1" fillId="4" borderId="10" xfId="0" applyFont="1" applyFill="1" applyBorder="1" applyAlignment="1">
      <alignment horizontal="center"/>
    </xf>
    <xf numFmtId="0" fontId="3" fillId="4" borderId="12" xfId="0" applyFont="1" applyFill="1" applyBorder="1" applyAlignment="1">
      <alignment horizontal="center"/>
    </xf>
    <xf numFmtId="0" fontId="1" fillId="4" borderId="12" xfId="0" applyFont="1" applyFill="1" applyBorder="1" applyAlignment="1">
      <alignment horizontal="center"/>
    </xf>
    <xf numFmtId="0" fontId="1" fillId="5" borderId="12" xfId="0" applyFont="1" applyFill="1" applyBorder="1" applyAlignment="1">
      <alignment horizontal="center"/>
    </xf>
    <xf numFmtId="0" fontId="1" fillId="6" borderId="12" xfId="0" applyFont="1" applyFill="1" applyBorder="1" applyAlignment="1">
      <alignment horizontal="center"/>
    </xf>
    <xf numFmtId="0" fontId="1" fillId="6" borderId="28" xfId="0" applyFont="1" applyFill="1" applyBorder="1" applyAlignment="1">
      <alignment horizontal="center"/>
    </xf>
    <xf numFmtId="0" fontId="1" fillId="7" borderId="19" xfId="0" applyFont="1" applyFill="1" applyBorder="1" applyAlignment="1">
      <alignment horizontal="center"/>
    </xf>
    <xf numFmtId="0" fontId="1" fillId="7" borderId="26" xfId="0" applyFont="1" applyFill="1" applyBorder="1" applyAlignment="1">
      <alignment horizontal="center" wrapText="1"/>
    </xf>
    <xf numFmtId="0" fontId="2" fillId="0" borderId="0" xfId="0" applyFont="1" applyAlignment="1">
      <alignment horizontal="center"/>
    </xf>
    <xf numFmtId="0" fontId="1" fillId="0" borderId="19" xfId="0" applyFont="1" applyBorder="1" applyAlignment="1">
      <alignment horizontal="left" vertical="center"/>
    </xf>
    <xf numFmtId="0" fontId="1" fillId="4" borderId="19" xfId="0" applyFont="1" applyFill="1" applyBorder="1" applyAlignment="1">
      <alignment horizontal="center"/>
    </xf>
    <xf numFmtId="0" fontId="3" fillId="4" borderId="19" xfId="0" applyFont="1" applyFill="1" applyBorder="1" applyAlignment="1">
      <alignment horizontal="center"/>
    </xf>
    <xf numFmtId="0" fontId="1" fillId="5" borderId="19" xfId="0" applyFont="1" applyFill="1" applyBorder="1" applyAlignment="1">
      <alignment horizontal="center"/>
    </xf>
    <xf numFmtId="0" fontId="1" fillId="6" borderId="19" xfId="0" applyFont="1" applyFill="1" applyBorder="1" applyAlignment="1">
      <alignment horizontal="center"/>
    </xf>
    <xf numFmtId="0" fontId="1" fillId="6" borderId="26" xfId="0" applyFont="1" applyFill="1" applyBorder="1" applyAlignment="1">
      <alignment horizontal="center"/>
    </xf>
    <xf numFmtId="0" fontId="1" fillId="7" borderId="29" xfId="0" applyFont="1" applyFill="1" applyBorder="1" applyAlignment="1">
      <alignment horizontal="center"/>
    </xf>
    <xf numFmtId="0" fontId="1" fillId="7" borderId="30" xfId="0" applyFont="1" applyFill="1" applyBorder="1" applyAlignment="1">
      <alignment horizontal="center" wrapText="1"/>
    </xf>
    <xf numFmtId="0" fontId="1" fillId="8" borderId="29" xfId="0" applyFont="1" applyFill="1" applyBorder="1" applyAlignment="1">
      <alignment horizontal="center" vertical="center"/>
    </xf>
    <xf numFmtId="0" fontId="1" fillId="3" borderId="31" xfId="0" applyFont="1" applyFill="1" applyBorder="1" applyAlignment="1">
      <alignment horizontal="center"/>
    </xf>
    <xf numFmtId="0" fontId="1" fillId="3" borderId="32" xfId="0" applyFont="1" applyFill="1" applyBorder="1" applyAlignment="1">
      <alignment horizontal="center" vertical="center"/>
    </xf>
    <xf numFmtId="0" fontId="3" fillId="3" borderId="31" xfId="0" applyFont="1" applyFill="1" applyBorder="1" applyAlignment="1">
      <alignment horizontal="center"/>
    </xf>
    <xf numFmtId="0" fontId="3" fillId="3" borderId="31" xfId="0" applyFont="1" applyFill="1" applyBorder="1" applyAlignment="1">
      <alignment horizontal="center" vertical="center"/>
    </xf>
    <xf numFmtId="0" fontId="3" fillId="3" borderId="33" xfId="0" applyFont="1" applyFill="1" applyBorder="1" applyAlignment="1">
      <alignment horizontal="center"/>
    </xf>
    <xf numFmtId="0" fontId="1" fillId="3" borderId="34" xfId="0" applyFont="1" applyFill="1" applyBorder="1"/>
    <xf numFmtId="0" fontId="1" fillId="3" borderId="1" xfId="0" applyFont="1" applyFill="1" applyBorder="1" applyAlignment="1">
      <alignment wrapText="1"/>
    </xf>
    <xf numFmtId="0" fontId="1" fillId="3" borderId="35" xfId="0" applyFont="1" applyFill="1" applyBorder="1" applyAlignment="1">
      <alignment horizontal="center" vertical="center"/>
    </xf>
    <xf numFmtId="0" fontId="2" fillId="0" borderId="0" xfId="0" applyFont="1" applyAlignment="1">
      <alignment horizontal="center" vertical="center"/>
    </xf>
    <xf numFmtId="0" fontId="2" fillId="0" borderId="0" xfId="0" applyFont="1" applyAlignment="1">
      <alignment wrapText="1"/>
    </xf>
    <xf numFmtId="0" fontId="9" fillId="5" borderId="49" xfId="0" applyFont="1" applyFill="1" applyBorder="1" applyAlignment="1">
      <alignment horizontal="center" vertical="center"/>
    </xf>
    <xf numFmtId="0" fontId="8" fillId="0" borderId="0" xfId="0" applyFont="1" applyAlignment="1">
      <alignment horizontal="center"/>
    </xf>
    <xf numFmtId="0" fontId="0" fillId="0" borderId="19" xfId="0" applyBorder="1"/>
    <xf numFmtId="0" fontId="8" fillId="0" borderId="0" xfId="0" applyFont="1"/>
    <xf numFmtId="0" fontId="12" fillId="0" borderId="19" xfId="0" applyFont="1" applyBorder="1" applyAlignment="1">
      <alignment horizontal="center" vertical="center"/>
    </xf>
    <xf numFmtId="0" fontId="14" fillId="4" borderId="22" xfId="0" applyFont="1" applyFill="1" applyBorder="1" applyAlignment="1">
      <alignment horizontal="center" vertical="center"/>
    </xf>
    <xf numFmtId="0" fontId="14" fillId="4" borderId="26" xfId="0" applyFont="1" applyFill="1" applyBorder="1" applyAlignment="1">
      <alignment horizontal="center" vertical="center"/>
    </xf>
    <xf numFmtId="0" fontId="12" fillId="0" borderId="19" xfId="0" applyFont="1" applyBorder="1" applyAlignment="1">
      <alignment horizontal="center"/>
    </xf>
    <xf numFmtId="0" fontId="8" fillId="0" borderId="0" xfId="0" applyFont="1" applyAlignment="1">
      <alignment horizontal="center"/>
    </xf>
    <xf numFmtId="0" fontId="13" fillId="0" borderId="19" xfId="0" applyFont="1" applyBorder="1" applyAlignment="1">
      <alignment horizontal="left"/>
    </xf>
    <xf numFmtId="0" fontId="13" fillId="3" borderId="31" xfId="0" applyFont="1" applyFill="1" applyBorder="1" applyAlignment="1">
      <alignment horizontal="center"/>
    </xf>
    <xf numFmtId="0" fontId="13" fillId="3" borderId="32" xfId="0" applyFont="1" applyFill="1" applyBorder="1" applyAlignment="1">
      <alignment horizontal="center"/>
    </xf>
    <xf numFmtId="0" fontId="14" fillId="3" borderId="46" xfId="0" applyFont="1" applyFill="1" applyBorder="1" applyAlignment="1">
      <alignment horizontal="center" vertical="center"/>
    </xf>
    <xf numFmtId="0" fontId="13" fillId="0" borderId="0" xfId="0" applyFont="1" applyAlignment="1">
      <alignment horizontal="center"/>
    </xf>
    <xf numFmtId="0" fontId="14" fillId="0" borderId="0" xfId="0" applyFont="1"/>
    <xf numFmtId="0" fontId="13" fillId="0" borderId="0" xfId="0" applyFont="1"/>
    <xf numFmtId="0" fontId="15" fillId="0" borderId="0" xfId="0" applyFont="1"/>
    <xf numFmtId="0" fontId="15" fillId="9" borderId="0" xfId="0" applyFont="1" applyFill="1" applyAlignment="1">
      <alignment horizontal="center"/>
    </xf>
    <xf numFmtId="0" fontId="16" fillId="0" borderId="20" xfId="0" applyFont="1" applyBorder="1" applyAlignment="1">
      <alignment horizontal="left" vertical="center"/>
    </xf>
    <xf numFmtId="0" fontId="16" fillId="0" borderId="23" xfId="0" applyFont="1" applyBorder="1" applyAlignment="1">
      <alignment vertical="center"/>
    </xf>
    <xf numFmtId="0" fontId="16" fillId="0" borderId="23" xfId="0" applyFont="1" applyBorder="1"/>
    <xf numFmtId="0" fontId="16" fillId="9" borderId="23" xfId="0" applyFont="1" applyFill="1" applyBorder="1"/>
    <xf numFmtId="0" fontId="13" fillId="4" borderId="9" xfId="0" applyFont="1" applyFill="1" applyBorder="1" applyAlignment="1">
      <alignment horizontal="center" vertical="center"/>
    </xf>
    <xf numFmtId="0" fontId="14" fillId="4" borderId="9" xfId="0" applyFont="1" applyFill="1" applyBorder="1" applyAlignment="1">
      <alignment horizontal="center" vertical="center"/>
    </xf>
    <xf numFmtId="0" fontId="12" fillId="5" borderId="9" xfId="0" applyFont="1" applyFill="1" applyBorder="1" applyAlignment="1">
      <alignment horizontal="center" vertical="center"/>
    </xf>
    <xf numFmtId="0" fontId="13" fillId="6" borderId="43" xfId="0" applyFont="1" applyFill="1" applyBorder="1" applyAlignment="1">
      <alignment horizontal="center" vertical="center"/>
    </xf>
    <xf numFmtId="0" fontId="13" fillId="6" borderId="19" xfId="0" applyFont="1" applyFill="1" applyBorder="1" applyAlignment="1">
      <alignment horizontal="center" vertical="center"/>
    </xf>
    <xf numFmtId="0" fontId="13" fillId="4" borderId="24" xfId="0" applyFont="1" applyFill="1" applyBorder="1" applyAlignment="1">
      <alignment horizontal="center" vertical="center"/>
    </xf>
    <xf numFmtId="0" fontId="12" fillId="5" borderId="24" xfId="0" applyFont="1" applyFill="1" applyBorder="1" applyAlignment="1">
      <alignment horizontal="center" vertical="center"/>
    </xf>
    <xf numFmtId="0" fontId="13" fillId="6" borderId="56" xfId="0" applyFont="1" applyFill="1" applyBorder="1" applyAlignment="1">
      <alignment horizontal="center" vertical="center"/>
    </xf>
    <xf numFmtId="0" fontId="13" fillId="4" borderId="9" xfId="0" applyFont="1" applyFill="1" applyBorder="1" applyAlignment="1">
      <alignment horizontal="center"/>
    </xf>
    <xf numFmtId="0" fontId="12" fillId="5" borderId="24" xfId="0" applyFont="1" applyFill="1" applyBorder="1" applyAlignment="1">
      <alignment horizontal="center"/>
    </xf>
    <xf numFmtId="0" fontId="13" fillId="6" borderId="56" xfId="0" applyFont="1" applyFill="1" applyBorder="1" applyAlignment="1">
      <alignment horizontal="center"/>
    </xf>
    <xf numFmtId="0" fontId="12" fillId="4" borderId="24" xfId="0" applyFont="1" applyFill="1" applyBorder="1" applyAlignment="1">
      <alignment horizontal="center"/>
    </xf>
    <xf numFmtId="0" fontId="13" fillId="5" borderId="12" xfId="0" applyFont="1" applyFill="1" applyBorder="1" applyAlignment="1">
      <alignment horizontal="center"/>
    </xf>
    <xf numFmtId="0" fontId="13" fillId="4" borderId="19" xfId="0" applyFont="1" applyFill="1" applyBorder="1" applyAlignment="1">
      <alignment horizontal="center"/>
    </xf>
    <xf numFmtId="0" fontId="13" fillId="5" borderId="19" xfId="0" applyFont="1" applyFill="1" applyBorder="1" applyAlignment="1">
      <alignment horizontal="center"/>
    </xf>
    <xf numFmtId="0" fontId="13" fillId="6" borderId="26" xfId="0" applyFont="1" applyFill="1" applyBorder="1" applyAlignment="1">
      <alignment horizontal="center"/>
    </xf>
    <xf numFmtId="0" fontId="14" fillId="3" borderId="31" xfId="0" applyFont="1" applyFill="1" applyBorder="1" applyAlignment="1">
      <alignment horizontal="center"/>
    </xf>
    <xf numFmtId="0" fontId="12" fillId="0" borderId="5" xfId="0" applyFont="1" applyBorder="1" applyAlignment="1">
      <alignment horizontal="center" vertical="center"/>
    </xf>
    <xf numFmtId="0" fontId="9" fillId="5" borderId="41" xfId="0" applyFont="1" applyFill="1" applyBorder="1" applyAlignment="1">
      <alignment horizontal="center" vertical="center"/>
    </xf>
    <xf numFmtId="0" fontId="9" fillId="5" borderId="34" xfId="0" applyFont="1" applyFill="1" applyBorder="1" applyAlignment="1">
      <alignment horizontal="center" vertical="center"/>
    </xf>
    <xf numFmtId="0" fontId="14" fillId="4" borderId="30" xfId="0" applyFont="1" applyFill="1" applyBorder="1" applyAlignment="1">
      <alignment horizontal="center" vertical="center"/>
    </xf>
    <xf numFmtId="0" fontId="14" fillId="4" borderId="19" xfId="0" applyFont="1" applyFill="1" applyBorder="1" applyAlignment="1">
      <alignment horizontal="center" vertical="center"/>
    </xf>
    <xf numFmtId="0" fontId="13" fillId="4" borderId="23" xfId="0" applyFont="1" applyFill="1" applyBorder="1" applyAlignment="1">
      <alignment horizontal="center"/>
    </xf>
    <xf numFmtId="0" fontId="13" fillId="4" borderId="26" xfId="0" applyFont="1" applyFill="1" applyBorder="1" applyAlignment="1">
      <alignment horizontal="center"/>
    </xf>
    <xf numFmtId="0" fontId="16" fillId="9" borderId="23" xfId="0" applyFont="1" applyFill="1" applyBorder="1" applyAlignment="1">
      <alignment horizontal="left" vertical="center"/>
    </xf>
    <xf numFmtId="0" fontId="13" fillId="10" borderId="24" xfId="0" applyFont="1" applyFill="1" applyBorder="1" applyAlignment="1">
      <alignment horizontal="center" vertical="center"/>
    </xf>
    <xf numFmtId="0" fontId="8" fillId="0" borderId="0" xfId="0" applyFont="1" applyAlignment="1">
      <alignment vertical="center"/>
    </xf>
    <xf numFmtId="0" fontId="16" fillId="9" borderId="23" xfId="0" applyFont="1" applyFill="1" applyBorder="1" applyAlignment="1">
      <alignment vertical="center"/>
    </xf>
    <xf numFmtId="0" fontId="12" fillId="5" borderId="24" xfId="0" applyFont="1" applyFill="1" applyBorder="1" applyAlignment="1">
      <alignment horizontal="center" vertical="center" wrapText="1"/>
    </xf>
    <xf numFmtId="0" fontId="12" fillId="4" borderId="24" xfId="0" applyFont="1" applyFill="1" applyBorder="1" applyAlignment="1">
      <alignment horizontal="center" vertical="center"/>
    </xf>
    <xf numFmtId="0" fontId="16" fillId="0" borderId="19" xfId="0" applyFont="1" applyBorder="1" applyAlignment="1">
      <alignment horizontal="left" vertical="center"/>
    </xf>
    <xf numFmtId="0" fontId="13" fillId="4" borderId="19" xfId="0" applyFont="1" applyFill="1" applyBorder="1" applyAlignment="1">
      <alignment horizontal="center" vertical="center"/>
    </xf>
    <xf numFmtId="0" fontId="13" fillId="4" borderId="26" xfId="0" applyFont="1" applyFill="1" applyBorder="1" applyAlignment="1">
      <alignment horizontal="center" vertical="center"/>
    </xf>
    <xf numFmtId="0" fontId="13" fillId="4" borderId="23" xfId="0" applyFont="1" applyFill="1" applyBorder="1" applyAlignment="1">
      <alignment horizontal="center" vertical="center"/>
    </xf>
    <xf numFmtId="0" fontId="13" fillId="5" borderId="19" xfId="0" applyFont="1" applyFill="1" applyBorder="1" applyAlignment="1">
      <alignment horizontal="center" vertical="center"/>
    </xf>
    <xf numFmtId="0" fontId="8" fillId="0" borderId="0" xfId="0" applyFont="1" applyAlignment="1">
      <alignment horizontal="center" vertical="center"/>
    </xf>
    <xf numFmtId="0" fontId="16" fillId="0" borderId="27" xfId="0" applyFont="1" applyBorder="1" applyAlignment="1">
      <alignment horizontal="left" vertical="center"/>
    </xf>
    <xf numFmtId="0" fontId="13" fillId="4" borderId="10" xfId="0" applyFont="1" applyFill="1" applyBorder="1" applyAlignment="1">
      <alignment horizontal="center" vertical="center"/>
    </xf>
    <xf numFmtId="0" fontId="13" fillId="4" borderId="53" xfId="0" applyFont="1" applyFill="1" applyBorder="1" applyAlignment="1">
      <alignment horizontal="center" vertical="center"/>
    </xf>
    <xf numFmtId="0" fontId="13" fillId="4" borderId="61" xfId="0" applyFont="1" applyFill="1" applyBorder="1" applyAlignment="1">
      <alignment horizontal="center" vertical="center"/>
    </xf>
    <xf numFmtId="0" fontId="13" fillId="5" borderId="12" xfId="0" applyFont="1" applyFill="1" applyBorder="1" applyAlignment="1">
      <alignment horizontal="center" vertical="center"/>
    </xf>
    <xf numFmtId="0" fontId="13" fillId="6" borderId="58" xfId="0" applyFont="1" applyFill="1" applyBorder="1" applyAlignment="1">
      <alignment horizontal="center" vertical="center"/>
    </xf>
    <xf numFmtId="0" fontId="13" fillId="6" borderId="22" xfId="0" applyFont="1" applyFill="1" applyBorder="1" applyAlignment="1">
      <alignment horizontal="center" vertical="center"/>
    </xf>
    <xf numFmtId="0" fontId="13" fillId="6" borderId="26" xfId="0" applyFont="1" applyFill="1" applyBorder="1" applyAlignment="1">
      <alignment horizontal="center" vertical="center"/>
    </xf>
    <xf numFmtId="0" fontId="13" fillId="6" borderId="30" xfId="0" applyFont="1" applyFill="1" applyBorder="1" applyAlignment="1">
      <alignment horizontal="center" vertical="center"/>
    </xf>
    <xf numFmtId="0" fontId="14" fillId="3" borderId="50" xfId="0" applyFont="1" applyFill="1" applyBorder="1" applyAlignment="1">
      <alignment horizontal="center"/>
    </xf>
    <xf numFmtId="0" fontId="13" fillId="0" borderId="19" xfId="0" applyFont="1" applyBorder="1" applyAlignment="1">
      <alignment horizontal="left" vertical="center" wrapText="1"/>
    </xf>
    <xf numFmtId="0" fontId="13" fillId="0" borderId="19" xfId="0" applyFont="1" applyBorder="1" applyAlignment="1">
      <alignment wrapText="1"/>
    </xf>
    <xf numFmtId="0" fontId="13" fillId="0" borderId="19" xfId="0" applyFont="1" applyBorder="1" applyAlignment="1">
      <alignment vertical="center" wrapText="1"/>
    </xf>
    <xf numFmtId="0" fontId="8" fillId="0" borderId="19" xfId="0" applyFont="1" applyBorder="1"/>
    <xf numFmtId="0" fontId="8" fillId="0" borderId="19" xfId="0" applyFont="1" applyBorder="1" applyAlignment="1">
      <alignment horizontal="center"/>
    </xf>
    <xf numFmtId="0" fontId="9" fillId="5" borderId="10" xfId="0" applyFont="1" applyFill="1" applyBorder="1" applyAlignment="1">
      <alignment horizontal="center" vertical="center" wrapText="1"/>
    </xf>
    <xf numFmtId="0" fontId="9" fillId="5" borderId="52" xfId="0" applyFont="1" applyFill="1" applyBorder="1" applyAlignment="1">
      <alignment horizontal="center" vertical="center"/>
    </xf>
    <xf numFmtId="0" fontId="9" fillId="5" borderId="10" xfId="0" applyFont="1" applyFill="1" applyBorder="1" applyAlignment="1">
      <alignment horizontal="center" vertical="center"/>
    </xf>
    <xf numFmtId="0" fontId="9" fillId="5" borderId="31" xfId="0" applyFont="1" applyFill="1" applyBorder="1" applyAlignment="1">
      <alignment horizontal="center" vertical="center"/>
    </xf>
    <xf numFmtId="0" fontId="9" fillId="4" borderId="52" xfId="0" applyFont="1" applyFill="1" applyBorder="1" applyAlignment="1">
      <alignment horizontal="center" vertical="center" wrapText="1"/>
    </xf>
    <xf numFmtId="0" fontId="11" fillId="4" borderId="31" xfId="0" applyFont="1" applyFill="1" applyBorder="1" applyAlignment="1">
      <alignment horizontal="center" vertical="center" wrapText="1"/>
    </xf>
    <xf numFmtId="0" fontId="9" fillId="5" borderId="3" xfId="0" applyFont="1" applyFill="1" applyBorder="1" applyAlignment="1">
      <alignment horizontal="center" vertical="center"/>
    </xf>
    <xf numFmtId="0" fontId="9" fillId="5" borderId="53" xfId="0" applyFont="1" applyFill="1" applyBorder="1" applyAlignment="1">
      <alignment horizontal="center" vertical="center"/>
    </xf>
    <xf numFmtId="0" fontId="9" fillId="5" borderId="59" xfId="0" applyFont="1" applyFill="1" applyBorder="1" applyAlignment="1">
      <alignment horizontal="center" vertical="center"/>
    </xf>
    <xf numFmtId="0" fontId="9" fillId="5" borderId="52" xfId="0" applyFont="1" applyFill="1" applyBorder="1" applyAlignment="1">
      <alignment horizontal="center" vertical="center" wrapText="1"/>
    </xf>
    <xf numFmtId="0" fontId="9" fillId="5" borderId="10" xfId="0" applyFont="1" applyFill="1" applyBorder="1" applyAlignment="1">
      <alignment horizontal="center" vertical="center" wrapText="1"/>
    </xf>
    <xf numFmtId="0" fontId="9" fillId="5" borderId="3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4" borderId="41" xfId="0" applyFont="1" applyFill="1" applyBorder="1" applyAlignment="1">
      <alignment horizontal="center" vertical="center" wrapText="1"/>
    </xf>
    <xf numFmtId="0" fontId="9" fillId="3" borderId="42" xfId="0" applyFont="1" applyFill="1" applyBorder="1" applyAlignment="1">
      <alignment horizontal="center" vertical="center"/>
    </xf>
    <xf numFmtId="0" fontId="9" fillId="3" borderId="60" xfId="0" applyFont="1" applyFill="1" applyBorder="1" applyAlignment="1">
      <alignment horizontal="center" vertical="center"/>
    </xf>
    <xf numFmtId="0" fontId="9" fillId="3" borderId="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7" xfId="0" applyFont="1" applyFill="1" applyBorder="1" applyAlignment="1">
      <alignment horizontal="center" vertical="center"/>
    </xf>
    <xf numFmtId="0" fontId="9" fillId="4" borderId="52" xfId="0" applyFont="1" applyFill="1" applyBorder="1" applyAlignment="1">
      <alignment horizontal="center" vertical="center" wrapText="1"/>
    </xf>
    <xf numFmtId="0" fontId="9" fillId="4" borderId="31" xfId="0" applyFont="1" applyFill="1" applyBorder="1" applyAlignment="1">
      <alignment horizontal="center" vertical="center" wrapText="1"/>
    </xf>
    <xf numFmtId="0" fontId="11" fillId="4" borderId="52" xfId="0" applyFont="1" applyFill="1" applyBorder="1" applyAlignment="1">
      <alignment horizontal="center" vertical="center" wrapText="1"/>
    </xf>
    <xf numFmtId="0" fontId="11" fillId="4" borderId="31" xfId="0" applyFont="1" applyFill="1" applyBorder="1" applyAlignment="1">
      <alignment horizontal="center" vertical="center" wrapText="1"/>
    </xf>
    <xf numFmtId="0" fontId="9" fillId="5" borderId="52" xfId="0" applyFont="1" applyFill="1" applyBorder="1" applyAlignment="1">
      <alignment horizontal="center" vertical="center"/>
    </xf>
    <xf numFmtId="0" fontId="9" fillId="5" borderId="10" xfId="0" applyFont="1" applyFill="1" applyBorder="1" applyAlignment="1">
      <alignment horizontal="center" vertical="center"/>
    </xf>
    <xf numFmtId="0" fontId="9" fillId="5" borderId="31" xfId="0" applyFont="1" applyFill="1" applyBorder="1" applyAlignment="1">
      <alignment horizontal="center" vertical="center"/>
    </xf>
    <xf numFmtId="0" fontId="10" fillId="4" borderId="38" xfId="0" applyFont="1" applyFill="1" applyBorder="1" applyAlignment="1">
      <alignment horizontal="center" vertical="center" wrapText="1"/>
    </xf>
    <xf numFmtId="0" fontId="10" fillId="4" borderId="45" xfId="0" applyFont="1" applyFill="1" applyBorder="1" applyAlignment="1">
      <alignment horizontal="center" vertical="center" wrapText="1"/>
    </xf>
    <xf numFmtId="0" fontId="10" fillId="4" borderId="8" xfId="0" applyFont="1" applyFill="1" applyBorder="1" applyAlignment="1">
      <alignment horizontal="center" vertical="center" wrapText="1"/>
    </xf>
    <xf numFmtId="0" fontId="9" fillId="0" borderId="19" xfId="0" applyFont="1" applyBorder="1" applyAlignment="1">
      <alignment horizontal="center" vertical="center" wrapText="1"/>
    </xf>
    <xf numFmtId="49" fontId="7" fillId="2" borderId="53" xfId="0" applyNumberFormat="1" applyFont="1" applyFill="1" applyBorder="1" applyAlignment="1">
      <alignment horizontal="center"/>
    </xf>
    <xf numFmtId="49" fontId="7" fillId="2" borderId="0" xfId="0" applyNumberFormat="1" applyFont="1" applyFill="1" applyAlignment="1">
      <alignment horizontal="center"/>
    </xf>
    <xf numFmtId="0" fontId="9" fillId="6" borderId="40" xfId="0" applyFont="1" applyFill="1" applyBorder="1" applyAlignment="1">
      <alignment horizontal="center" vertical="center" wrapText="1"/>
    </xf>
    <xf numFmtId="0" fontId="9" fillId="6" borderId="47" xfId="0" applyFont="1" applyFill="1" applyBorder="1" applyAlignment="1">
      <alignment horizontal="center" vertical="center" wrapText="1"/>
    </xf>
    <xf numFmtId="0" fontId="9" fillId="6" borderId="46" xfId="0" applyFont="1" applyFill="1" applyBorder="1" applyAlignment="1">
      <alignment horizontal="center" vertical="center" wrapText="1"/>
    </xf>
    <xf numFmtId="0" fontId="9" fillId="5" borderId="51" xfId="0" applyFont="1" applyFill="1" applyBorder="1" applyAlignment="1">
      <alignment horizontal="center" vertical="center"/>
    </xf>
    <xf numFmtId="0" fontId="9" fillId="6" borderId="42" xfId="0" applyFont="1" applyFill="1" applyBorder="1" applyAlignment="1">
      <alignment horizontal="center" vertical="center" wrapText="1"/>
    </xf>
    <xf numFmtId="0" fontId="9" fillId="6" borderId="60" xfId="0" applyFont="1" applyFill="1" applyBorder="1" applyAlignment="1">
      <alignment horizontal="center" vertical="center" wrapText="1"/>
    </xf>
    <xf numFmtId="0" fontId="9" fillId="6" borderId="6" xfId="0" applyFont="1" applyFill="1" applyBorder="1" applyAlignment="1">
      <alignment horizontal="center" vertical="center" wrapText="1"/>
    </xf>
    <xf numFmtId="49" fontId="7" fillId="2" borderId="49" xfId="0" applyNumberFormat="1" applyFont="1" applyFill="1" applyBorder="1" applyAlignment="1">
      <alignment horizontal="center"/>
    </xf>
    <xf numFmtId="49" fontId="7" fillId="2" borderId="54" xfId="0" applyNumberFormat="1" applyFont="1" applyFill="1" applyBorder="1" applyAlignment="1">
      <alignment horizontal="center"/>
    </xf>
    <xf numFmtId="0" fontId="9" fillId="6" borderId="38" xfId="0" applyFont="1" applyFill="1" applyBorder="1" applyAlignment="1">
      <alignment horizontal="center" vertical="center" wrapText="1"/>
    </xf>
    <xf numFmtId="0" fontId="9" fillId="6" borderId="45" xfId="0" applyFont="1" applyFill="1" applyBorder="1" applyAlignment="1">
      <alignment horizontal="center" vertical="center" wrapText="1"/>
    </xf>
    <xf numFmtId="0" fontId="9" fillId="6" borderId="8" xfId="0" applyFont="1" applyFill="1" applyBorder="1" applyAlignment="1">
      <alignment horizontal="center" vertical="center" wrapText="1"/>
    </xf>
    <xf numFmtId="0" fontId="13" fillId="6" borderId="5" xfId="0" applyFont="1" applyFill="1" applyBorder="1" applyAlignment="1">
      <alignment horizontal="center" vertical="center"/>
    </xf>
    <xf numFmtId="0" fontId="16" fillId="9" borderId="23" xfId="0" applyFont="1" applyFill="1" applyBorder="1" applyAlignment="1">
      <alignment horizontal="left"/>
    </xf>
    <xf numFmtId="0" fontId="13" fillId="10" borderId="24" xfId="0" applyFont="1" applyFill="1" applyBorder="1" applyAlignment="1">
      <alignment horizontal="center"/>
    </xf>
    <xf numFmtId="0" fontId="13" fillId="6" borderId="19" xfId="0" applyFont="1" applyFill="1" applyBorder="1" applyAlignment="1">
      <alignment horizontal="center"/>
    </xf>
    <xf numFmtId="0" fontId="13" fillId="4" borderId="24" xfId="0" applyFont="1" applyFill="1" applyBorder="1" applyAlignment="1">
      <alignment horizontal="center"/>
    </xf>
    <xf numFmtId="0" fontId="12" fillId="5" borderId="24" xfId="0" applyFont="1" applyFill="1" applyBorder="1" applyAlignment="1">
      <alignment horizontal="center" wrapText="1"/>
    </xf>
    <xf numFmtId="0" fontId="16" fillId="0" borderId="27" xfId="0" applyFont="1" applyBorder="1" applyAlignment="1">
      <alignment horizontal="left"/>
    </xf>
    <xf numFmtId="0" fontId="13" fillId="4" borderId="10" xfId="0" applyFont="1" applyFill="1" applyBorder="1" applyAlignment="1">
      <alignment horizontal="center"/>
    </xf>
    <xf numFmtId="0" fontId="13" fillId="4" borderId="53" xfId="0" applyFont="1" applyFill="1" applyBorder="1" applyAlignment="1">
      <alignment horizontal="center"/>
    </xf>
    <xf numFmtId="0" fontId="13" fillId="4" borderId="61" xfId="0" applyFont="1" applyFill="1" applyBorder="1" applyAlignment="1">
      <alignment horizontal="center"/>
    </xf>
    <xf numFmtId="0" fontId="13" fillId="6" borderId="58" xfId="0" applyFont="1" applyFill="1" applyBorder="1" applyAlignment="1">
      <alignment horizontal="center"/>
    </xf>
    <xf numFmtId="0" fontId="13" fillId="6" borderId="29" xfId="0" applyFont="1" applyFill="1" applyBorder="1" applyAlignment="1">
      <alignment horizontal="center"/>
    </xf>
    <xf numFmtId="0" fontId="16" fillId="0" borderId="19" xfId="0" applyFont="1" applyBorder="1" applyAlignment="1">
      <alignment horizontal="left"/>
    </xf>
    <xf numFmtId="0" fontId="8" fillId="11" borderId="34" xfId="0" applyFont="1" applyFill="1" applyBorder="1" applyAlignment="1">
      <alignment horizontal="center"/>
    </xf>
    <xf numFmtId="0" fontId="8" fillId="11" borderId="2" xfId="0" applyFont="1" applyFill="1" applyBorder="1" applyAlignment="1">
      <alignment horizontal="center"/>
    </xf>
    <xf numFmtId="0" fontId="8" fillId="11" borderId="52" xfId="0" applyFont="1" applyFill="1" applyBorder="1"/>
    <xf numFmtId="0" fontId="8" fillId="0" borderId="52" xfId="0" applyFont="1" applyBorder="1" applyAlignment="1">
      <alignment horizontal="center" vertical="center" wrapText="1"/>
    </xf>
    <xf numFmtId="0" fontId="8" fillId="0" borderId="10" xfId="0" applyFont="1" applyBorder="1" applyAlignment="1">
      <alignment horizontal="center"/>
    </xf>
    <xf numFmtId="0" fontId="15" fillId="0" borderId="36" xfId="0" applyFont="1" applyBorder="1" applyAlignment="1">
      <alignment horizontal="center"/>
    </xf>
    <xf numFmtId="0" fontId="8" fillId="0" borderId="31" xfId="0" applyFont="1" applyBorder="1" applyAlignment="1">
      <alignment horizontal="center" vertical="center" wrapText="1"/>
    </xf>
    <xf numFmtId="0" fontId="8" fillId="0" borderId="34" xfId="0" applyFont="1" applyBorder="1" applyAlignment="1">
      <alignment horizontal="center"/>
    </xf>
    <xf numFmtId="0" fontId="8" fillId="0" borderId="33" xfId="0" applyFont="1" applyBorder="1" applyAlignment="1">
      <alignment horizontal="center"/>
    </xf>
    <xf numFmtId="0" fontId="15" fillId="0" borderId="31" xfId="0" applyFont="1" applyBorder="1" applyAlignment="1">
      <alignment horizontal="center"/>
    </xf>
    <xf numFmtId="0" fontId="13" fillId="4" borderId="11" xfId="0" applyFont="1" applyFill="1" applyBorder="1" applyAlignment="1">
      <alignment horizontal="center" vertical="center"/>
    </xf>
    <xf numFmtId="0" fontId="12" fillId="5" borderId="9" xfId="0" applyFont="1" applyFill="1" applyBorder="1" applyAlignment="1">
      <alignment horizontal="center"/>
    </xf>
    <xf numFmtId="0" fontId="13" fillId="6" borderId="28" xfId="0" applyFont="1" applyFill="1" applyBorder="1" applyAlignment="1">
      <alignment horizontal="center"/>
    </xf>
    <xf numFmtId="49" fontId="7" fillId="2" borderId="1" xfId="0" applyNumberFormat="1" applyFont="1" applyFill="1" applyBorder="1" applyAlignment="1">
      <alignment horizontal="center"/>
    </xf>
    <xf numFmtId="49" fontId="7" fillId="2" borderId="2" xfId="0" applyNumberFormat="1" applyFont="1" applyFill="1" applyBorder="1" applyAlignment="1">
      <alignment horizontal="center"/>
    </xf>
    <xf numFmtId="49" fontId="7" fillId="2" borderId="41" xfId="0" applyNumberFormat="1" applyFont="1" applyFill="1" applyBorder="1" applyAlignment="1">
      <alignment horizontal="center"/>
    </xf>
    <xf numFmtId="0" fontId="8" fillId="0" borderId="53" xfId="0" applyFont="1" applyBorder="1" applyAlignment="1">
      <alignment horizontal="center"/>
    </xf>
    <xf numFmtId="0" fontId="9" fillId="3" borderId="52" xfId="0" applyFont="1" applyFill="1" applyBorder="1" applyAlignment="1">
      <alignment horizontal="center" vertical="center"/>
    </xf>
    <xf numFmtId="0" fontId="9" fillId="3" borderId="39" xfId="0" applyFont="1" applyFill="1" applyBorder="1" applyAlignment="1">
      <alignment horizontal="center" vertical="center"/>
    </xf>
    <xf numFmtId="0" fontId="9" fillId="5" borderId="52" xfId="0" applyFont="1" applyFill="1" applyBorder="1" applyAlignment="1">
      <alignment vertical="center" wrapText="1"/>
    </xf>
    <xf numFmtId="0" fontId="9" fillId="5" borderId="49" xfId="0" applyFont="1" applyFill="1" applyBorder="1" applyAlignment="1">
      <alignment horizontal="center" vertical="center" wrapText="1"/>
    </xf>
    <xf numFmtId="0" fontId="9" fillId="5" borderId="54" xfId="0" applyFont="1" applyFill="1" applyBorder="1" applyAlignment="1">
      <alignment horizontal="center" vertical="center" wrapText="1"/>
    </xf>
    <xf numFmtId="0" fontId="9" fillId="6" borderId="49" xfId="0" applyFont="1" applyFill="1" applyBorder="1" applyAlignment="1">
      <alignment horizontal="center" vertical="center" wrapText="1"/>
    </xf>
    <xf numFmtId="0" fontId="9" fillId="6" borderId="52" xfId="0" applyFont="1" applyFill="1" applyBorder="1" applyAlignment="1">
      <alignment horizontal="center" vertical="center" wrapText="1"/>
    </xf>
    <xf numFmtId="0" fontId="9" fillId="3" borderId="10" xfId="0" applyFont="1" applyFill="1" applyBorder="1" applyAlignment="1">
      <alignment horizontal="center" vertical="center"/>
    </xf>
    <xf numFmtId="0" fontId="9" fillId="3" borderId="48" xfId="0" applyFont="1" applyFill="1" applyBorder="1" applyAlignment="1">
      <alignment horizontal="center" vertical="center"/>
    </xf>
    <xf numFmtId="0" fontId="9" fillId="5" borderId="10" xfId="0" applyFont="1" applyFill="1" applyBorder="1" applyAlignment="1">
      <alignment vertical="center" wrapText="1"/>
    </xf>
    <xf numFmtId="0" fontId="9" fillId="5" borderId="53" xfId="0" applyFont="1" applyFill="1" applyBorder="1" applyAlignment="1">
      <alignment horizontal="center" vertical="center" wrapText="1"/>
    </xf>
    <xf numFmtId="0" fontId="9" fillId="5" borderId="0" xfId="0" applyFont="1" applyFill="1" applyAlignment="1">
      <alignment horizontal="center" vertical="center" wrapText="1"/>
    </xf>
    <xf numFmtId="0" fontId="9" fillId="5" borderId="50" xfId="0" applyFont="1" applyFill="1" applyBorder="1" applyAlignment="1">
      <alignment horizontal="center" vertical="center"/>
    </xf>
    <xf numFmtId="0" fontId="9" fillId="6" borderId="53" xfId="0" applyFont="1" applyFill="1" applyBorder="1" applyAlignment="1">
      <alignment horizontal="center" vertical="center" wrapText="1"/>
    </xf>
    <xf numFmtId="0" fontId="9" fillId="6" borderId="10" xfId="0" applyFont="1" applyFill="1" applyBorder="1" applyAlignment="1">
      <alignment horizontal="center" vertical="center" wrapText="1"/>
    </xf>
    <xf numFmtId="0" fontId="9" fillId="3" borderId="31" xfId="0" applyFont="1" applyFill="1" applyBorder="1" applyAlignment="1">
      <alignment horizontal="center" vertical="center"/>
    </xf>
    <xf numFmtId="0" fontId="9" fillId="3" borderId="32" xfId="0" applyFont="1" applyFill="1" applyBorder="1" applyAlignment="1">
      <alignment horizontal="center" vertical="center"/>
    </xf>
    <xf numFmtId="0" fontId="9" fillId="5" borderId="31" xfId="0" applyFont="1" applyFill="1" applyBorder="1" applyAlignment="1">
      <alignment vertical="center" wrapText="1"/>
    </xf>
    <xf numFmtId="0" fontId="9" fillId="5" borderId="50" xfId="0" applyFont="1" applyFill="1" applyBorder="1" applyAlignment="1">
      <alignment horizontal="center" vertical="center" wrapText="1"/>
    </xf>
    <xf numFmtId="0" fontId="9" fillId="5" borderId="33" xfId="0" applyFont="1" applyFill="1" applyBorder="1" applyAlignment="1">
      <alignment horizontal="center" vertical="center" wrapText="1"/>
    </xf>
    <xf numFmtId="0" fontId="9" fillId="6" borderId="50" xfId="0" applyFont="1" applyFill="1" applyBorder="1" applyAlignment="1">
      <alignment horizontal="center" vertical="center" wrapText="1"/>
    </xf>
    <xf numFmtId="0" fontId="9" fillId="6" borderId="31" xfId="0" applyFont="1" applyFill="1" applyBorder="1" applyAlignment="1">
      <alignment horizontal="center" vertical="center" wrapText="1"/>
    </xf>
    <xf numFmtId="0" fontId="9" fillId="3" borderId="10" xfId="0" applyFont="1" applyFill="1" applyBorder="1" applyAlignment="1">
      <alignment horizontal="center" vertical="center"/>
    </xf>
    <xf numFmtId="0" fontId="9" fillId="3" borderId="48" xfId="0" applyFont="1" applyFill="1" applyBorder="1" applyAlignment="1">
      <alignment horizontal="center" vertical="center"/>
    </xf>
    <xf numFmtId="0" fontId="10" fillId="4" borderId="47" xfId="0" applyFont="1" applyFill="1" applyBorder="1" applyAlignment="1">
      <alignment horizontal="center" vertical="center" wrapText="1"/>
    </xf>
    <xf numFmtId="0" fontId="9" fillId="4" borderId="10"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9" fillId="5" borderId="10" xfId="0" applyFont="1" applyFill="1" applyBorder="1" applyAlignment="1">
      <alignment vertical="center" wrapText="1"/>
    </xf>
    <xf numFmtId="0" fontId="9" fillId="5" borderId="53" xfId="0" applyFont="1" applyFill="1" applyBorder="1" applyAlignment="1">
      <alignment horizontal="center" vertical="center" wrapText="1"/>
    </xf>
    <xf numFmtId="0" fontId="9" fillId="6" borderId="53" xfId="0" applyFont="1" applyFill="1" applyBorder="1" applyAlignment="1">
      <alignment horizontal="center" vertical="center" wrapText="1"/>
    </xf>
    <xf numFmtId="0" fontId="9" fillId="6" borderId="10" xfId="0" applyFont="1" applyFill="1" applyBorder="1" applyAlignment="1">
      <alignment horizontal="center" vertical="center" wrapText="1"/>
    </xf>
    <xf numFmtId="0" fontId="12" fillId="0" borderId="9" xfId="0" applyFont="1" applyBorder="1" applyAlignment="1">
      <alignment horizontal="center" vertical="center"/>
    </xf>
    <xf numFmtId="0" fontId="12" fillId="5" borderId="43" xfId="0" applyFont="1" applyFill="1" applyBorder="1" applyAlignment="1">
      <alignment horizontal="center" vertical="center"/>
    </xf>
    <xf numFmtId="0" fontId="12" fillId="5" borderId="55" xfId="0" applyFont="1" applyFill="1" applyBorder="1" applyAlignment="1">
      <alignment horizontal="center" vertical="center"/>
    </xf>
    <xf numFmtId="0" fontId="13" fillId="6" borderId="9" xfId="0" applyFont="1" applyFill="1" applyBorder="1" applyAlignment="1">
      <alignment horizontal="center" vertical="center"/>
    </xf>
    <xf numFmtId="0" fontId="12" fillId="5" borderId="56" xfId="0" applyFont="1" applyFill="1" applyBorder="1" applyAlignment="1">
      <alignment horizontal="center" vertical="center"/>
    </xf>
    <xf numFmtId="0" fontId="13" fillId="6" borderId="24" xfId="0" applyFont="1" applyFill="1" applyBorder="1" applyAlignment="1">
      <alignment horizontal="center"/>
    </xf>
    <xf numFmtId="0" fontId="16" fillId="5" borderId="23" xfId="0" applyFont="1" applyFill="1" applyBorder="1"/>
    <xf numFmtId="0" fontId="14" fillId="5" borderId="26" xfId="0" applyFont="1" applyFill="1" applyBorder="1" applyAlignment="1">
      <alignment horizontal="center" vertical="center"/>
    </xf>
    <xf numFmtId="0" fontId="13" fillId="5" borderId="9" xfId="0" applyFont="1" applyFill="1" applyBorder="1" applyAlignment="1">
      <alignment horizontal="center"/>
    </xf>
    <xf numFmtId="0" fontId="13" fillId="5" borderId="9" xfId="0" applyFont="1" applyFill="1" applyBorder="1" applyAlignment="1">
      <alignment horizontal="center" vertical="center"/>
    </xf>
    <xf numFmtId="0" fontId="14" fillId="5" borderId="9" xfId="0" applyFont="1" applyFill="1" applyBorder="1" applyAlignment="1">
      <alignment horizontal="center" vertical="center"/>
    </xf>
    <xf numFmtId="0" fontId="13" fillId="5" borderId="24" xfId="0" applyFont="1" applyFill="1" applyBorder="1" applyAlignment="1">
      <alignment horizontal="center"/>
    </xf>
    <xf numFmtId="0" fontId="13" fillId="5" borderId="56" xfId="0" applyFont="1" applyFill="1" applyBorder="1" applyAlignment="1">
      <alignment horizontal="center"/>
    </xf>
    <xf numFmtId="0" fontId="8" fillId="5" borderId="0" xfId="0" applyFont="1" applyFill="1"/>
    <xf numFmtId="0" fontId="12" fillId="5" borderId="11" xfId="0" applyFont="1" applyFill="1" applyBorder="1" applyAlignment="1">
      <alignment horizontal="center" vertical="center"/>
    </xf>
    <xf numFmtId="0" fontId="12" fillId="5" borderId="21" xfId="0" applyFont="1" applyFill="1" applyBorder="1" applyAlignment="1">
      <alignment horizontal="center" vertical="center"/>
    </xf>
    <xf numFmtId="0" fontId="13" fillId="6" borderId="12" xfId="0" applyFont="1" applyFill="1" applyBorder="1" applyAlignment="1">
      <alignment horizontal="center"/>
    </xf>
    <xf numFmtId="0" fontId="16" fillId="0" borderId="23" xfId="0" applyFont="1" applyBorder="1" applyAlignment="1">
      <alignment horizontal="left"/>
    </xf>
    <xf numFmtId="0" fontId="13" fillId="5" borderId="21" xfId="0" applyFont="1" applyFill="1" applyBorder="1" applyAlignment="1">
      <alignment horizontal="center"/>
    </xf>
    <xf numFmtId="0" fontId="14" fillId="3" borderId="57" xfId="0" applyFont="1" applyFill="1" applyBorder="1"/>
    <xf numFmtId="0" fontId="14" fillId="0" borderId="26" xfId="0" applyFont="1" applyBorder="1" applyAlignment="1">
      <alignment horizontal="center" vertical="center"/>
    </xf>
    <xf numFmtId="49" fontId="7" fillId="2" borderId="19" xfId="0" applyNumberFormat="1" applyFont="1" applyFill="1" applyBorder="1" applyAlignment="1">
      <alignment horizontal="center"/>
    </xf>
    <xf numFmtId="0" fontId="9" fillId="3" borderId="19" xfId="0" applyFont="1" applyFill="1" applyBorder="1" applyAlignment="1">
      <alignment horizontal="center" vertical="center"/>
    </xf>
    <xf numFmtId="0" fontId="10" fillId="4" borderId="19" xfId="0" applyFont="1" applyFill="1" applyBorder="1" applyAlignment="1">
      <alignment horizontal="center" vertical="center" wrapText="1"/>
    </xf>
    <xf numFmtId="0" fontId="9" fillId="4" borderId="19" xfId="0" applyFont="1" applyFill="1" applyBorder="1" applyAlignment="1">
      <alignment horizontal="center" vertical="center" wrapText="1"/>
    </xf>
    <xf numFmtId="0" fontId="9" fillId="5" borderId="19" xfId="0" applyFont="1" applyFill="1" applyBorder="1" applyAlignment="1">
      <alignment horizontal="center" vertical="center" wrapText="1"/>
    </xf>
    <xf numFmtId="0" fontId="9" fillId="5" borderId="19" xfId="0" applyFont="1" applyFill="1" applyBorder="1" applyAlignment="1">
      <alignment horizontal="center" vertical="center"/>
    </xf>
    <xf numFmtId="0" fontId="9" fillId="6" borderId="19" xfId="0" applyFont="1" applyFill="1" applyBorder="1" applyAlignment="1">
      <alignment horizontal="center" vertical="center" wrapText="1"/>
    </xf>
    <xf numFmtId="0" fontId="8" fillId="0" borderId="29" xfId="0" applyFont="1" applyBorder="1"/>
    <xf numFmtId="0" fontId="11" fillId="4" borderId="19" xfId="0" applyFont="1" applyFill="1" applyBorder="1" applyAlignment="1">
      <alignment horizontal="center" vertical="center" wrapText="1"/>
    </xf>
    <xf numFmtId="0" fontId="8" fillId="0" borderId="44" xfId="0" applyFont="1" applyBorder="1"/>
    <xf numFmtId="0" fontId="9" fillId="5" borderId="19" xfId="0" applyFont="1" applyFill="1" applyBorder="1" applyAlignment="1">
      <alignment horizontal="center" vertical="center"/>
    </xf>
    <xf numFmtId="0" fontId="8" fillId="0" borderId="5" xfId="0" applyFont="1" applyBorder="1"/>
    <xf numFmtId="0" fontId="16" fillId="0" borderId="19" xfId="0" applyFont="1" applyBorder="1" applyAlignment="1">
      <alignment vertical="center"/>
    </xf>
    <xf numFmtId="0" fontId="12" fillId="5" borderId="19" xfId="0" applyFont="1" applyFill="1" applyBorder="1" applyAlignment="1">
      <alignment horizontal="center" vertical="center"/>
    </xf>
    <xf numFmtId="0" fontId="14" fillId="0" borderId="19" xfId="0" applyFont="1" applyBorder="1" applyAlignment="1">
      <alignment horizontal="center" vertical="center"/>
    </xf>
    <xf numFmtId="0" fontId="12" fillId="5" borderId="19" xfId="0" applyFont="1" applyFill="1" applyBorder="1" applyAlignment="1">
      <alignment horizontal="center"/>
    </xf>
    <xf numFmtId="0" fontId="16" fillId="0" borderId="19" xfId="0" applyFont="1" applyBorder="1"/>
    <xf numFmtId="0" fontId="16" fillId="9" borderId="19" xfId="0" applyFont="1" applyFill="1" applyBorder="1"/>
    <xf numFmtId="0" fontId="13" fillId="3" borderId="19" xfId="0" applyFont="1" applyFill="1" applyBorder="1" applyAlignment="1">
      <alignment horizontal="center"/>
    </xf>
    <xf numFmtId="0" fontId="14" fillId="3" borderId="19" xfId="0" applyFont="1" applyFill="1" applyBorder="1" applyAlignment="1">
      <alignment horizontal="center" vertical="center"/>
    </xf>
    <xf numFmtId="0" fontId="14" fillId="3" borderId="19" xfId="0" applyFont="1" applyFill="1" applyBorder="1" applyAlignment="1">
      <alignment horizontal="center"/>
    </xf>
  </cellXfs>
  <cellStyles count="9">
    <cellStyle name="Normal" xfId="0" builtinId="0"/>
    <cellStyle name="Normal 2" xfId="1" xr:uid="{849A156D-18B4-4E5D-8B83-6ADA41CF8091}"/>
    <cellStyle name="Normal 3" xfId="2" xr:uid="{7923C74E-769A-4F19-ABAC-6865F95568FE}"/>
    <cellStyle name="Normal 4" xfId="3" xr:uid="{C7775002-0C39-4608-B604-E1C816239992}"/>
    <cellStyle name="Normal 5" xfId="4" xr:uid="{F41E2C9A-D913-4F48-9757-5801FBCA935A}"/>
    <cellStyle name="Normal 6" xfId="5" xr:uid="{100A7E34-9F3D-4490-8E79-A300CE9C5D36}"/>
    <cellStyle name="Normal 7" xfId="6" xr:uid="{5447CBD2-DD1D-4253-8193-3152B8BD97AD}"/>
    <cellStyle name="Normal 8" xfId="7" xr:uid="{B7DA7CC5-50D8-423D-9344-95E89743C057}"/>
    <cellStyle name="Normal 9" xfId="8" xr:uid="{7D5DE9C1-90B3-4748-A9B1-DA3FB67B2B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559F4-7DC8-4F92-A93D-7B87530BCA16}">
  <dimension ref="A1:T26"/>
  <sheetViews>
    <sheetView workbookViewId="0">
      <selection sqref="A1:XFD1048576"/>
    </sheetView>
  </sheetViews>
  <sheetFormatPr defaultRowHeight="15.75" x14ac:dyDescent="0.25"/>
  <cols>
    <col min="1" max="1" width="9.140625" style="63"/>
    <col min="2" max="2" width="15.7109375" style="81" customWidth="1"/>
    <col min="3" max="3" width="16" style="4" customWidth="1"/>
    <col min="4" max="4" width="11.42578125" style="4" bestFit="1" customWidth="1"/>
    <col min="5" max="5" width="10.42578125" style="4" customWidth="1"/>
    <col min="6" max="6" width="13.42578125" style="4" bestFit="1" customWidth="1"/>
    <col min="7" max="7" width="21.42578125" style="63" customWidth="1"/>
    <col min="8" max="9" width="21.42578125" style="4" customWidth="1"/>
    <col min="10" max="10" width="25.85546875" style="4" customWidth="1"/>
    <col min="11" max="11" width="31.28515625" style="4" bestFit="1" customWidth="1"/>
    <col min="12" max="15" width="18" style="4" customWidth="1"/>
    <col min="16" max="16" width="14.5703125" style="63" bestFit="1" customWidth="1"/>
    <col min="17" max="17" width="14.28515625" style="63" bestFit="1" customWidth="1"/>
    <col min="18" max="18" width="12.85546875" style="4" bestFit="1" customWidth="1"/>
    <col min="19" max="19" width="47.42578125" style="82" customWidth="1"/>
    <col min="20" max="20" width="0" style="4" hidden="1" customWidth="1"/>
    <col min="21" max="16384" width="9.140625" style="4"/>
  </cols>
  <sheetData>
    <row r="1" spans="1:20" ht="16.5" thickBot="1" x14ac:dyDescent="0.3">
      <c r="A1" s="1" t="s">
        <v>0</v>
      </c>
      <c r="B1" s="2"/>
      <c r="C1" s="2"/>
      <c r="D1" s="2"/>
      <c r="E1" s="2"/>
      <c r="F1" s="2"/>
      <c r="G1" s="2"/>
      <c r="H1" s="2"/>
      <c r="I1" s="2"/>
      <c r="J1" s="2"/>
      <c r="K1" s="2"/>
      <c r="L1" s="2"/>
      <c r="M1" s="2"/>
      <c r="N1" s="2"/>
      <c r="O1" s="2"/>
      <c r="P1" s="2"/>
      <c r="Q1" s="2"/>
      <c r="R1" s="2"/>
      <c r="S1" s="2"/>
      <c r="T1" s="3"/>
    </row>
    <row r="2" spans="1:20" ht="16.5" thickBot="1" x14ac:dyDescent="0.3">
      <c r="A2" s="5" t="s">
        <v>1</v>
      </c>
      <c r="B2" s="6" t="s">
        <v>2</v>
      </c>
      <c r="C2" s="7" t="s">
        <v>3</v>
      </c>
      <c r="D2" s="8"/>
      <c r="E2" s="8"/>
      <c r="F2" s="9"/>
      <c r="G2" s="10" t="s">
        <v>4</v>
      </c>
      <c r="H2" s="10" t="s">
        <v>5</v>
      </c>
      <c r="I2" s="11" t="s">
        <v>6</v>
      </c>
      <c r="J2" s="12" t="s">
        <v>7</v>
      </c>
      <c r="K2" s="12" t="s">
        <v>8</v>
      </c>
      <c r="L2" s="12" t="s">
        <v>9</v>
      </c>
      <c r="M2" s="10" t="s">
        <v>10</v>
      </c>
      <c r="N2" s="12" t="s">
        <v>11</v>
      </c>
      <c r="O2" s="12" t="s">
        <v>12</v>
      </c>
      <c r="P2" s="13" t="s">
        <v>13</v>
      </c>
      <c r="Q2" s="14" t="s">
        <v>14</v>
      </c>
      <c r="R2" s="15" t="s">
        <v>15</v>
      </c>
      <c r="S2" s="16" t="s">
        <v>16</v>
      </c>
      <c r="T2" s="17" t="s">
        <v>17</v>
      </c>
    </row>
    <row r="3" spans="1:20" ht="32.25" thickBot="1" x14ac:dyDescent="0.3">
      <c r="A3" s="18"/>
      <c r="B3" s="19"/>
      <c r="C3" s="20" t="s">
        <v>18</v>
      </c>
      <c r="D3" s="20" t="s">
        <v>19</v>
      </c>
      <c r="E3" s="21" t="s">
        <v>20</v>
      </c>
      <c r="F3" s="20" t="s">
        <v>21</v>
      </c>
      <c r="G3" s="22"/>
      <c r="H3" s="22"/>
      <c r="I3" s="23"/>
      <c r="J3" s="24"/>
      <c r="K3" s="24"/>
      <c r="L3" s="24"/>
      <c r="M3" s="22"/>
      <c r="N3" s="24"/>
      <c r="O3" s="24"/>
      <c r="P3" s="25"/>
      <c r="Q3" s="26"/>
      <c r="R3" s="27"/>
      <c r="S3" s="28"/>
      <c r="T3" s="29"/>
    </row>
    <row r="4" spans="1:20" ht="32.25" thickTop="1" x14ac:dyDescent="0.25">
      <c r="A4" s="30">
        <v>1</v>
      </c>
      <c r="B4" s="31" t="s">
        <v>22</v>
      </c>
      <c r="C4" s="32">
        <v>4</v>
      </c>
      <c r="D4" s="32"/>
      <c r="E4" s="33">
        <v>5</v>
      </c>
      <c r="F4" s="32">
        <v>2</v>
      </c>
      <c r="G4" s="34">
        <v>1</v>
      </c>
      <c r="H4" s="34"/>
      <c r="I4" s="34">
        <v>3</v>
      </c>
      <c r="J4" s="34"/>
      <c r="K4" s="34" t="s">
        <v>23</v>
      </c>
      <c r="L4" s="34"/>
      <c r="M4" s="34" t="s">
        <v>24</v>
      </c>
      <c r="N4" s="34">
        <v>2</v>
      </c>
      <c r="O4" s="34">
        <v>3</v>
      </c>
      <c r="P4" s="35">
        <v>6</v>
      </c>
      <c r="Q4" s="36">
        <v>23</v>
      </c>
      <c r="R4" s="37" t="s">
        <v>25</v>
      </c>
      <c r="S4" s="38" t="s">
        <v>26</v>
      </c>
      <c r="T4" s="39">
        <v>9</v>
      </c>
    </row>
    <row r="5" spans="1:20" ht="31.5" x14ac:dyDescent="0.25">
      <c r="A5" s="30">
        <v>2</v>
      </c>
      <c r="B5" s="40" t="s">
        <v>27</v>
      </c>
      <c r="C5" s="32">
        <v>5</v>
      </c>
      <c r="D5" s="32">
        <v>1</v>
      </c>
      <c r="E5" s="41">
        <f>SUM($C5:$D5)</f>
        <v>6</v>
      </c>
      <c r="F5" s="42"/>
      <c r="G5" s="43">
        <v>1</v>
      </c>
      <c r="H5" s="43">
        <v>1</v>
      </c>
      <c r="I5" s="43">
        <v>3</v>
      </c>
      <c r="J5" s="43"/>
      <c r="K5" s="43"/>
      <c r="L5" s="43"/>
      <c r="M5" s="43" t="s">
        <v>28</v>
      </c>
      <c r="N5" s="43">
        <f>-N10</f>
        <v>0</v>
      </c>
      <c r="O5" s="43">
        <v>10</v>
      </c>
      <c r="P5" s="44">
        <v>5</v>
      </c>
      <c r="Q5" s="45">
        <v>29</v>
      </c>
      <c r="R5" s="46" t="s">
        <v>25</v>
      </c>
      <c r="S5" s="47" t="s">
        <v>29</v>
      </c>
      <c r="T5" s="48">
        <v>10</v>
      </c>
    </row>
    <row r="6" spans="1:20" x14ac:dyDescent="0.25">
      <c r="A6" s="30">
        <v>3</v>
      </c>
      <c r="B6" s="49" t="s">
        <v>30</v>
      </c>
      <c r="C6" s="32">
        <v>3</v>
      </c>
      <c r="D6" s="32"/>
      <c r="E6" s="41">
        <f>SUM($C6:$D6)</f>
        <v>3</v>
      </c>
      <c r="F6" s="50"/>
      <c r="G6" s="43"/>
      <c r="H6" s="43"/>
      <c r="I6" s="43">
        <v>1</v>
      </c>
      <c r="J6" s="43"/>
      <c r="K6" s="43"/>
      <c r="L6" s="43"/>
      <c r="M6" s="43" t="s">
        <v>31</v>
      </c>
      <c r="N6" s="43">
        <v>1</v>
      </c>
      <c r="O6" s="43"/>
      <c r="P6" s="44"/>
      <c r="Q6" s="45">
        <v>4</v>
      </c>
      <c r="R6" s="46" t="s">
        <v>25</v>
      </c>
      <c r="S6" s="47" t="s">
        <v>32</v>
      </c>
      <c r="T6" s="48">
        <v>4</v>
      </c>
    </row>
    <row r="7" spans="1:20" x14ac:dyDescent="0.25">
      <c r="A7" s="30">
        <v>4</v>
      </c>
      <c r="B7" s="40" t="s">
        <v>33</v>
      </c>
      <c r="C7" s="32">
        <v>5</v>
      </c>
      <c r="D7" s="32"/>
      <c r="E7" s="41">
        <v>5</v>
      </c>
      <c r="F7" s="42"/>
      <c r="G7" s="43"/>
      <c r="H7" s="43"/>
      <c r="I7" s="43"/>
      <c r="J7" s="43"/>
      <c r="K7" s="43"/>
      <c r="L7" s="43"/>
      <c r="M7" s="43">
        <v>0</v>
      </c>
      <c r="N7" s="43">
        <v>0</v>
      </c>
      <c r="O7" s="43">
        <v>4</v>
      </c>
      <c r="P7" s="44">
        <v>9</v>
      </c>
      <c r="Q7" s="45">
        <v>38</v>
      </c>
      <c r="R7" s="46" t="s">
        <v>25</v>
      </c>
      <c r="S7" s="47" t="s">
        <v>34</v>
      </c>
      <c r="T7" s="48">
        <v>5</v>
      </c>
    </row>
    <row r="8" spans="1:20" ht="47.25" x14ac:dyDescent="0.25">
      <c r="A8" s="30">
        <v>5</v>
      </c>
      <c r="B8" s="40" t="s">
        <v>35</v>
      </c>
      <c r="C8" s="32">
        <v>4</v>
      </c>
      <c r="D8" s="32">
        <v>1</v>
      </c>
      <c r="E8" s="41">
        <v>6.5</v>
      </c>
      <c r="F8" s="42">
        <v>3</v>
      </c>
      <c r="G8" s="43">
        <v>3</v>
      </c>
      <c r="H8" s="43"/>
      <c r="I8" s="43">
        <v>1</v>
      </c>
      <c r="J8" s="43">
        <v>3</v>
      </c>
      <c r="K8" s="43"/>
      <c r="L8" s="43">
        <v>2</v>
      </c>
      <c r="M8" s="43" t="s">
        <v>24</v>
      </c>
      <c r="N8" s="43">
        <v>0.5</v>
      </c>
      <c r="O8" s="43">
        <v>3</v>
      </c>
      <c r="P8" s="44">
        <v>3</v>
      </c>
      <c r="Q8" s="45">
        <v>33</v>
      </c>
      <c r="R8" s="46" t="s">
        <v>25</v>
      </c>
      <c r="S8" s="47" t="s">
        <v>36</v>
      </c>
      <c r="T8" s="48">
        <v>6</v>
      </c>
    </row>
    <row r="9" spans="1:20" ht="31.5" x14ac:dyDescent="0.25">
      <c r="A9" s="30">
        <v>6</v>
      </c>
      <c r="B9" s="40" t="s">
        <v>37</v>
      </c>
      <c r="C9" s="32">
        <v>2</v>
      </c>
      <c r="D9" s="32">
        <v>1</v>
      </c>
      <c r="E9" s="41">
        <v>4.5</v>
      </c>
      <c r="F9" s="42">
        <v>3</v>
      </c>
      <c r="G9" s="43"/>
      <c r="H9" s="43"/>
      <c r="I9" s="43"/>
      <c r="J9" s="43"/>
      <c r="K9" s="43"/>
      <c r="L9" s="43"/>
      <c r="M9" s="43" t="s">
        <v>38</v>
      </c>
      <c r="N9" s="43">
        <v>4</v>
      </c>
      <c r="O9" s="43">
        <v>5</v>
      </c>
      <c r="P9" s="44">
        <v>4</v>
      </c>
      <c r="Q9" s="45">
        <v>15</v>
      </c>
      <c r="R9" s="46" t="s">
        <v>25</v>
      </c>
      <c r="S9" s="47" t="s">
        <v>39</v>
      </c>
      <c r="T9" s="48">
        <v>4.5</v>
      </c>
    </row>
    <row r="10" spans="1:20" ht="47.25" x14ac:dyDescent="0.25">
      <c r="A10" s="30">
        <v>7</v>
      </c>
      <c r="B10" s="51" t="s">
        <v>40</v>
      </c>
      <c r="C10" s="32"/>
      <c r="D10" s="32">
        <v>2</v>
      </c>
      <c r="E10" s="41">
        <v>2.5</v>
      </c>
      <c r="F10" s="42">
        <v>1</v>
      </c>
      <c r="G10" s="43" t="s">
        <v>41</v>
      </c>
      <c r="H10" s="43"/>
      <c r="I10" s="43"/>
      <c r="J10" s="43">
        <v>2</v>
      </c>
      <c r="K10" s="43">
        <v>1</v>
      </c>
      <c r="L10" s="43">
        <v>2</v>
      </c>
      <c r="M10" s="43" t="s">
        <v>42</v>
      </c>
      <c r="N10" s="43">
        <v>0</v>
      </c>
      <c r="O10" s="43">
        <v>2</v>
      </c>
      <c r="P10" s="44">
        <v>3</v>
      </c>
      <c r="Q10" s="45">
        <v>7</v>
      </c>
      <c r="R10" s="46" t="s">
        <v>25</v>
      </c>
      <c r="S10" s="47" t="s">
        <v>43</v>
      </c>
      <c r="T10" s="48">
        <v>3.5</v>
      </c>
    </row>
    <row r="11" spans="1:20" ht="31.5" x14ac:dyDescent="0.25">
      <c r="A11" s="30">
        <v>8</v>
      </c>
      <c r="B11" s="51" t="s">
        <v>44</v>
      </c>
      <c r="C11" s="32">
        <v>1</v>
      </c>
      <c r="D11" s="32">
        <v>2</v>
      </c>
      <c r="E11" s="41">
        <v>3.5</v>
      </c>
      <c r="F11" s="42">
        <v>1</v>
      </c>
      <c r="G11" s="43"/>
      <c r="H11" s="43"/>
      <c r="I11" s="43"/>
      <c r="J11" s="43"/>
      <c r="K11" s="43" t="s">
        <v>45</v>
      </c>
      <c r="L11" s="43">
        <v>5</v>
      </c>
      <c r="M11" s="43" t="s">
        <v>24</v>
      </c>
      <c r="N11" s="43">
        <v>0</v>
      </c>
      <c r="O11" s="43">
        <v>3</v>
      </c>
      <c r="P11" s="44">
        <v>1</v>
      </c>
      <c r="Q11" s="45">
        <v>12</v>
      </c>
      <c r="R11" s="46" t="s">
        <v>25</v>
      </c>
      <c r="S11" s="47" t="s">
        <v>46</v>
      </c>
      <c r="T11" s="48">
        <v>4.75</v>
      </c>
    </row>
    <row r="12" spans="1:20" ht="31.5" x14ac:dyDescent="0.25">
      <c r="A12" s="30">
        <v>9</v>
      </c>
      <c r="B12" s="51" t="s">
        <v>47</v>
      </c>
      <c r="C12" s="32">
        <v>3</v>
      </c>
      <c r="D12" s="32">
        <v>1</v>
      </c>
      <c r="E12" s="41">
        <f>SUM($C12:$D12)</f>
        <v>4</v>
      </c>
      <c r="F12" s="42"/>
      <c r="G12" s="43"/>
      <c r="H12" s="43"/>
      <c r="I12" s="43">
        <v>1</v>
      </c>
      <c r="J12" s="43"/>
      <c r="K12" s="43"/>
      <c r="L12" s="43"/>
      <c r="M12" s="43"/>
      <c r="N12" s="43">
        <v>1.5</v>
      </c>
      <c r="O12" s="43">
        <v>2</v>
      </c>
      <c r="P12" s="44">
        <v>2</v>
      </c>
      <c r="Q12" s="45">
        <v>19</v>
      </c>
      <c r="R12" s="46" t="s">
        <v>25</v>
      </c>
      <c r="S12" s="47" t="s">
        <v>48</v>
      </c>
      <c r="T12" s="48">
        <v>5</v>
      </c>
    </row>
    <row r="13" spans="1:20" ht="31.5" x14ac:dyDescent="0.25">
      <c r="A13" s="30">
        <v>10</v>
      </c>
      <c r="B13" s="40" t="s">
        <v>49</v>
      </c>
      <c r="C13" s="32">
        <v>1</v>
      </c>
      <c r="D13" s="32">
        <v>0.5</v>
      </c>
      <c r="E13" s="41">
        <f>SUM($C13:$D13)</f>
        <v>1.5</v>
      </c>
      <c r="F13" s="42"/>
      <c r="G13" s="43"/>
      <c r="H13" s="43"/>
      <c r="I13" s="43"/>
      <c r="J13" s="43"/>
      <c r="K13" s="43"/>
      <c r="L13" s="43"/>
      <c r="M13" s="43" t="s">
        <v>24</v>
      </c>
      <c r="N13" s="43">
        <v>3</v>
      </c>
      <c r="O13" s="43">
        <v>2</v>
      </c>
      <c r="P13" s="44">
        <v>2</v>
      </c>
      <c r="Q13" s="45">
        <v>6</v>
      </c>
      <c r="R13" s="46" t="s">
        <v>25</v>
      </c>
      <c r="S13" s="47" t="s">
        <v>50</v>
      </c>
      <c r="T13" s="48">
        <v>1.5</v>
      </c>
    </row>
    <row r="14" spans="1:20" ht="31.5" x14ac:dyDescent="0.25">
      <c r="A14" s="30">
        <v>11</v>
      </c>
      <c r="B14" s="40" t="s">
        <v>51</v>
      </c>
      <c r="C14" s="32">
        <v>0.5</v>
      </c>
      <c r="D14" s="32">
        <v>1.5</v>
      </c>
      <c r="E14" s="41">
        <f>SUM($C14:$D14)</f>
        <v>2</v>
      </c>
      <c r="F14" s="42"/>
      <c r="G14" s="43"/>
      <c r="H14" s="43"/>
      <c r="I14" s="43"/>
      <c r="J14" s="43"/>
      <c r="K14" s="43"/>
      <c r="L14" s="43"/>
      <c r="M14" s="43">
        <v>0</v>
      </c>
      <c r="N14" s="43">
        <v>0</v>
      </c>
      <c r="O14" s="43"/>
      <c r="P14" s="44">
        <v>3</v>
      </c>
      <c r="Q14" s="45">
        <v>6</v>
      </c>
      <c r="R14" s="46" t="s">
        <v>25</v>
      </c>
      <c r="S14" s="47" t="s">
        <v>52</v>
      </c>
      <c r="T14" s="48">
        <v>2</v>
      </c>
    </row>
    <row r="15" spans="1:20" ht="31.5" x14ac:dyDescent="0.25">
      <c r="A15" s="30">
        <v>12</v>
      </c>
      <c r="B15" s="40" t="s">
        <v>53</v>
      </c>
      <c r="C15" s="32">
        <v>3</v>
      </c>
      <c r="D15" s="32"/>
      <c r="E15" s="41">
        <v>1.5</v>
      </c>
      <c r="F15" s="42"/>
      <c r="G15" s="43"/>
      <c r="H15" s="43"/>
      <c r="I15" s="43"/>
      <c r="J15" s="43"/>
      <c r="K15" s="43"/>
      <c r="L15" s="43"/>
      <c r="M15" s="43" t="s">
        <v>24</v>
      </c>
      <c r="N15" s="43">
        <v>1</v>
      </c>
      <c r="O15" s="43"/>
      <c r="P15" s="44">
        <v>2</v>
      </c>
      <c r="Q15" s="45">
        <v>1</v>
      </c>
      <c r="R15" s="46" t="s">
        <v>25</v>
      </c>
      <c r="S15" s="47" t="s">
        <v>54</v>
      </c>
      <c r="T15" s="48">
        <v>1.5</v>
      </c>
    </row>
    <row r="16" spans="1:20" x14ac:dyDescent="0.25">
      <c r="A16" s="30">
        <v>13</v>
      </c>
      <c r="B16" s="40" t="s">
        <v>55</v>
      </c>
      <c r="C16" s="32">
        <v>2</v>
      </c>
      <c r="D16" s="32">
        <v>2</v>
      </c>
      <c r="E16" s="41">
        <f>SUM($C16:$D16)</f>
        <v>4</v>
      </c>
      <c r="F16" s="42"/>
      <c r="G16" s="43"/>
      <c r="H16" s="43"/>
      <c r="I16" s="43"/>
      <c r="J16" s="43"/>
      <c r="K16" s="43"/>
      <c r="L16" s="43"/>
      <c r="M16" s="43" t="s">
        <v>24</v>
      </c>
      <c r="N16" s="43">
        <v>0.5</v>
      </c>
      <c r="O16" s="43">
        <v>3</v>
      </c>
      <c r="P16" s="44">
        <v>4</v>
      </c>
      <c r="Q16" s="45">
        <v>11</v>
      </c>
      <c r="R16" s="46" t="s">
        <v>25</v>
      </c>
      <c r="S16" s="47" t="s">
        <v>56</v>
      </c>
      <c r="T16" s="48">
        <v>3</v>
      </c>
    </row>
    <row r="17" spans="1:20" ht="31.5" x14ac:dyDescent="0.25">
      <c r="A17" s="30">
        <v>14</v>
      </c>
      <c r="B17" s="40" t="s">
        <v>57</v>
      </c>
      <c r="C17" s="32"/>
      <c r="D17" s="32">
        <v>1</v>
      </c>
      <c r="E17" s="41">
        <v>1.5</v>
      </c>
      <c r="F17" s="52">
        <v>1</v>
      </c>
      <c r="G17" s="43"/>
      <c r="H17" s="43"/>
      <c r="I17" s="43"/>
      <c r="J17" s="43"/>
      <c r="K17" s="43"/>
      <c r="L17" s="43"/>
      <c r="M17" s="43" t="s">
        <v>38</v>
      </c>
      <c r="N17" s="43">
        <v>8</v>
      </c>
      <c r="O17" s="43"/>
      <c r="P17" s="44"/>
      <c r="Q17" s="45">
        <v>2</v>
      </c>
      <c r="R17" s="46" t="s">
        <v>25</v>
      </c>
      <c r="S17" s="47" t="s">
        <v>58</v>
      </c>
      <c r="T17" s="48">
        <v>1.5</v>
      </c>
    </row>
    <row r="18" spans="1:20" x14ac:dyDescent="0.25">
      <c r="A18" s="30">
        <v>15</v>
      </c>
      <c r="B18" s="40" t="s">
        <v>59</v>
      </c>
      <c r="C18" s="32"/>
      <c r="D18" s="32"/>
      <c r="E18" s="41">
        <f t="shared" ref="E18:E24" si="0">SUM($C18:$D18)</f>
        <v>0</v>
      </c>
      <c r="F18" s="52"/>
      <c r="G18" s="43"/>
      <c r="H18" s="43"/>
      <c r="I18" s="43"/>
      <c r="J18" s="43"/>
      <c r="K18" s="43"/>
      <c r="L18" s="43"/>
      <c r="M18" s="43" t="s">
        <v>24</v>
      </c>
      <c r="N18" s="43">
        <v>2</v>
      </c>
      <c r="O18" s="43"/>
      <c r="P18" s="44"/>
      <c r="Q18" s="45"/>
      <c r="R18" s="46"/>
      <c r="S18" s="47"/>
      <c r="T18" s="48"/>
    </row>
    <row r="19" spans="1:20" x14ac:dyDescent="0.25">
      <c r="A19" s="30">
        <v>16</v>
      </c>
      <c r="B19" s="51" t="s">
        <v>60</v>
      </c>
      <c r="C19" s="32"/>
      <c r="D19" s="32"/>
      <c r="E19" s="41">
        <f t="shared" si="0"/>
        <v>0</v>
      </c>
      <c r="F19" s="52"/>
      <c r="G19" s="43"/>
      <c r="H19" s="43"/>
      <c r="I19" s="43"/>
      <c r="J19" s="43"/>
      <c r="K19" s="43"/>
      <c r="L19" s="43"/>
      <c r="M19" s="43">
        <v>0</v>
      </c>
      <c r="N19" s="43">
        <v>0</v>
      </c>
      <c r="O19" s="43"/>
      <c r="P19" s="44"/>
      <c r="Q19" s="45">
        <v>2</v>
      </c>
      <c r="R19" s="46"/>
      <c r="S19" s="47"/>
      <c r="T19" s="48"/>
    </row>
    <row r="20" spans="1:20" x14ac:dyDescent="0.25">
      <c r="A20" s="30">
        <v>17</v>
      </c>
      <c r="B20" s="51" t="s">
        <v>61</v>
      </c>
      <c r="C20" s="32"/>
      <c r="D20" s="32"/>
      <c r="E20" s="41">
        <f t="shared" si="0"/>
        <v>0</v>
      </c>
      <c r="F20" s="52"/>
      <c r="G20" s="43"/>
      <c r="H20" s="43"/>
      <c r="I20" s="43"/>
      <c r="J20" s="43"/>
      <c r="K20" s="43"/>
      <c r="L20" s="43"/>
      <c r="M20" s="43" t="s">
        <v>24</v>
      </c>
      <c r="N20" s="53">
        <v>0</v>
      </c>
      <c r="O20" s="43"/>
      <c r="P20" s="44"/>
      <c r="Q20" s="45"/>
      <c r="R20" s="46"/>
      <c r="S20" s="47"/>
      <c r="T20" s="48"/>
    </row>
    <row r="21" spans="1:20" x14ac:dyDescent="0.25">
      <c r="A21" s="30">
        <v>18</v>
      </c>
      <c r="B21" s="51" t="s">
        <v>62</v>
      </c>
      <c r="C21" s="32"/>
      <c r="D21" s="32"/>
      <c r="E21" s="41">
        <f t="shared" si="0"/>
        <v>0</v>
      </c>
      <c r="F21" s="52"/>
      <c r="G21" s="43"/>
      <c r="H21" s="43"/>
      <c r="I21" s="43"/>
      <c r="J21" s="43"/>
      <c r="K21" s="43"/>
      <c r="L21" s="43"/>
      <c r="M21" s="43"/>
      <c r="N21" s="43">
        <v>0</v>
      </c>
      <c r="O21" s="43"/>
      <c r="P21" s="44"/>
      <c r="Q21" s="45">
        <v>1</v>
      </c>
      <c r="R21" s="46"/>
      <c r="S21" s="47"/>
      <c r="T21" s="48"/>
    </row>
    <row r="22" spans="1:20" s="63" customFormat="1" x14ac:dyDescent="0.25">
      <c r="A22" s="30">
        <v>19</v>
      </c>
      <c r="B22" s="54" t="s">
        <v>63</v>
      </c>
      <c r="C22" s="55"/>
      <c r="D22" s="55"/>
      <c r="E22" s="56">
        <f t="shared" si="0"/>
        <v>0</v>
      </c>
      <c r="F22" s="57"/>
      <c r="G22" s="58"/>
      <c r="H22" s="58"/>
      <c r="I22" s="58"/>
      <c r="J22" s="58"/>
      <c r="K22" s="58"/>
      <c r="L22" s="58"/>
      <c r="M22" s="58" t="s">
        <v>64</v>
      </c>
      <c r="N22" s="58">
        <v>1.5</v>
      </c>
      <c r="O22" s="58"/>
      <c r="P22" s="59">
        <v>1</v>
      </c>
      <c r="Q22" s="60">
        <v>2</v>
      </c>
      <c r="R22" s="61"/>
      <c r="S22" s="62"/>
      <c r="T22" s="48"/>
    </row>
    <row r="23" spans="1:20" s="63" customFormat="1" ht="16.5" thickBot="1" x14ac:dyDescent="0.3">
      <c r="A23" s="30"/>
      <c r="B23" s="64"/>
      <c r="C23" s="65"/>
      <c r="D23" s="65"/>
      <c r="E23" s="66">
        <f t="shared" si="0"/>
        <v>0</v>
      </c>
      <c r="F23" s="65"/>
      <c r="G23" s="67"/>
      <c r="H23" s="67"/>
      <c r="I23" s="67"/>
      <c r="J23" s="67"/>
      <c r="K23" s="67"/>
      <c r="L23" s="67"/>
      <c r="M23" s="67"/>
      <c r="N23" s="67"/>
      <c r="O23" s="67"/>
      <c r="P23" s="68"/>
      <c r="Q23" s="69"/>
      <c r="R23" s="70"/>
      <c r="S23" s="71"/>
      <c r="T23" s="72"/>
    </row>
    <row r="24" spans="1:20" ht="16.5" thickBot="1" x14ac:dyDescent="0.3">
      <c r="A24" s="73"/>
      <c r="B24" s="74" t="s">
        <v>17</v>
      </c>
      <c r="C24" s="75">
        <f t="shared" ref="C24:K24" si="1">SUM(C4:C22)</f>
        <v>33.5</v>
      </c>
      <c r="D24" s="75">
        <f t="shared" si="1"/>
        <v>13</v>
      </c>
      <c r="E24" s="75">
        <f t="shared" si="0"/>
        <v>46.5</v>
      </c>
      <c r="F24" s="75">
        <f t="shared" si="1"/>
        <v>11</v>
      </c>
      <c r="G24" s="75">
        <f t="shared" si="1"/>
        <v>5</v>
      </c>
      <c r="H24" s="75">
        <f t="shared" si="1"/>
        <v>1</v>
      </c>
      <c r="I24" s="75"/>
      <c r="J24" s="75">
        <f t="shared" si="1"/>
        <v>5</v>
      </c>
      <c r="K24" s="76">
        <f t="shared" si="1"/>
        <v>1</v>
      </c>
      <c r="L24" s="76">
        <f>SUM(L4:L22)</f>
        <v>9</v>
      </c>
      <c r="M24" s="76">
        <f>SUM(M4:M22)</f>
        <v>0</v>
      </c>
      <c r="N24" s="76">
        <f>SUM(N4:N22)</f>
        <v>25</v>
      </c>
      <c r="O24" s="76">
        <f>SUM(O4:O23)</f>
        <v>37</v>
      </c>
      <c r="P24" s="75">
        <f>SUM(P4:P23)</f>
        <v>45</v>
      </c>
      <c r="Q24" s="77">
        <f>SUM(Q4:Q23)</f>
        <v>211</v>
      </c>
      <c r="R24" s="78"/>
      <c r="S24" s="79"/>
      <c r="T24" s="80"/>
    </row>
    <row r="26" spans="1:20" x14ac:dyDescent="0.25">
      <c r="A26" s="4"/>
    </row>
  </sheetData>
  <mergeCells count="18">
    <mergeCell ref="S2:S3"/>
    <mergeCell ref="T2:T3"/>
    <mergeCell ref="M2:M3"/>
    <mergeCell ref="N2:N3"/>
    <mergeCell ref="O2:O3"/>
    <mergeCell ref="P2:P3"/>
    <mergeCell ref="Q2:Q3"/>
    <mergeCell ref="R2:R3"/>
    <mergeCell ref="A1:T1"/>
    <mergeCell ref="A2:A3"/>
    <mergeCell ref="B2:B3"/>
    <mergeCell ref="C2:F2"/>
    <mergeCell ref="G2:G3"/>
    <mergeCell ref="H2:H3"/>
    <mergeCell ref="I2:I3"/>
    <mergeCell ref="J2:J3"/>
    <mergeCell ref="K2:K3"/>
    <mergeCell ref="L2:L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B6B52-8C70-4131-B198-B31E67D240E2}">
  <dimension ref="B1:U32"/>
  <sheetViews>
    <sheetView zoomScale="70" zoomScaleNormal="70" workbookViewId="0">
      <selection activeCell="J7" sqref="J7"/>
    </sheetView>
  </sheetViews>
  <sheetFormatPr defaultRowHeight="14.25" x14ac:dyDescent="0.2"/>
  <cols>
    <col min="1" max="1" width="9.140625" style="86"/>
    <col min="2" max="2" width="9.140625" style="91"/>
    <col min="3" max="3" width="20.42578125" style="91" customWidth="1"/>
    <col min="4" max="4" width="15.140625" style="99" customWidth="1"/>
    <col min="5" max="5" width="20.7109375" style="86" customWidth="1"/>
    <col min="6" max="6" width="11.85546875" style="86" customWidth="1"/>
    <col min="7" max="7" width="10.42578125" style="86" customWidth="1"/>
    <col min="8" max="8" width="13.42578125" style="86" customWidth="1"/>
    <col min="9" max="9" width="19.28515625" style="91" customWidth="1"/>
    <col min="10" max="10" width="19.28515625" style="86" customWidth="1"/>
    <col min="11" max="11" width="11.28515625" style="86" customWidth="1"/>
    <col min="12" max="12" width="7.28515625" style="86" customWidth="1"/>
    <col min="13" max="13" width="11.140625" style="86" customWidth="1"/>
    <col min="14" max="14" width="12.7109375" style="86" customWidth="1"/>
    <col min="15" max="15" width="16.140625" style="86" customWidth="1"/>
    <col min="16" max="17" width="8" style="86" customWidth="1"/>
    <col min="18" max="18" width="11" style="86" customWidth="1"/>
    <col min="19" max="19" width="16" style="91" customWidth="1"/>
    <col min="20" max="20" width="12.5703125" style="91" customWidth="1"/>
    <col min="21" max="21" width="59.42578125" style="86" customWidth="1"/>
    <col min="22" max="16384" width="9.140625" style="86"/>
  </cols>
  <sheetData>
    <row r="1" spans="2:21" ht="24" thickBot="1" x14ac:dyDescent="0.4">
      <c r="B1" s="188" t="s">
        <v>65</v>
      </c>
      <c r="C1" s="189"/>
      <c r="D1" s="189"/>
      <c r="E1" s="189"/>
      <c r="F1" s="189"/>
      <c r="G1" s="189"/>
      <c r="H1" s="189"/>
      <c r="I1" s="189"/>
      <c r="J1" s="189"/>
      <c r="K1" s="189"/>
      <c r="L1" s="189"/>
      <c r="M1" s="189"/>
      <c r="N1" s="189"/>
      <c r="O1" s="189"/>
      <c r="P1" s="189"/>
      <c r="Q1" s="189"/>
      <c r="R1" s="189"/>
      <c r="S1" s="189"/>
      <c r="T1" s="189"/>
      <c r="U1" s="189"/>
    </row>
    <row r="2" spans="2:21" ht="16.5" thickBot="1" x14ac:dyDescent="0.25">
      <c r="B2" s="171" t="s">
        <v>1</v>
      </c>
      <c r="C2" s="174" t="s">
        <v>2</v>
      </c>
      <c r="D2" s="184" t="s">
        <v>66</v>
      </c>
      <c r="E2" s="168" t="s">
        <v>3</v>
      </c>
      <c r="F2" s="169"/>
      <c r="G2" s="169"/>
      <c r="H2" s="170"/>
      <c r="I2" s="165" t="s">
        <v>4</v>
      </c>
      <c r="J2" s="165" t="s">
        <v>5</v>
      </c>
      <c r="K2" s="165" t="s">
        <v>6</v>
      </c>
      <c r="L2" s="181" t="s">
        <v>7</v>
      </c>
      <c r="M2" s="165" t="s">
        <v>8</v>
      </c>
      <c r="N2" s="181" t="s">
        <v>9</v>
      </c>
      <c r="O2" s="165" t="s">
        <v>10</v>
      </c>
      <c r="P2" s="83" t="s">
        <v>11</v>
      </c>
      <c r="Q2" s="162"/>
      <c r="R2" s="162" t="s">
        <v>12</v>
      </c>
      <c r="S2" s="194" t="s">
        <v>13</v>
      </c>
      <c r="T2" s="190" t="s">
        <v>14</v>
      </c>
      <c r="U2" s="187" t="s">
        <v>67</v>
      </c>
    </row>
    <row r="3" spans="2:21" ht="15" thickBot="1" x14ac:dyDescent="0.25">
      <c r="B3" s="172"/>
      <c r="C3" s="175"/>
      <c r="D3" s="185"/>
      <c r="E3" s="177" t="s">
        <v>18</v>
      </c>
      <c r="F3" s="177" t="s">
        <v>68</v>
      </c>
      <c r="G3" s="179" t="s">
        <v>20</v>
      </c>
      <c r="H3" s="177" t="s">
        <v>21</v>
      </c>
      <c r="I3" s="166"/>
      <c r="J3" s="166"/>
      <c r="K3" s="166"/>
      <c r="L3" s="182"/>
      <c r="M3" s="166"/>
      <c r="N3" s="182"/>
      <c r="O3" s="166"/>
      <c r="P3" s="163"/>
      <c r="Q3" s="164"/>
      <c r="R3" s="164"/>
      <c r="S3" s="195"/>
      <c r="T3" s="191"/>
      <c r="U3" s="187"/>
    </row>
    <row r="4" spans="2:21" ht="16.5" thickBot="1" x14ac:dyDescent="0.25">
      <c r="B4" s="173"/>
      <c r="C4" s="176"/>
      <c r="D4" s="186"/>
      <c r="E4" s="178"/>
      <c r="F4" s="178"/>
      <c r="G4" s="180"/>
      <c r="H4" s="178"/>
      <c r="I4" s="167"/>
      <c r="J4" s="167"/>
      <c r="K4" s="167"/>
      <c r="L4" s="183"/>
      <c r="M4" s="167"/>
      <c r="N4" s="183"/>
      <c r="O4" s="167"/>
      <c r="P4" s="124" t="s">
        <v>69</v>
      </c>
      <c r="Q4" s="123" t="s">
        <v>70</v>
      </c>
      <c r="R4" s="193"/>
      <c r="S4" s="196"/>
      <c r="T4" s="192"/>
      <c r="U4" s="187"/>
    </row>
    <row r="5" spans="2:21" ht="75" x14ac:dyDescent="0.2">
      <c r="B5" s="122">
        <v>1</v>
      </c>
      <c r="C5" s="101" t="s">
        <v>22</v>
      </c>
      <c r="D5" s="88"/>
      <c r="E5" s="105">
        <v>3</v>
      </c>
      <c r="F5" s="105"/>
      <c r="G5" s="106">
        <f>SUM($E5:$F5)</f>
        <v>3</v>
      </c>
      <c r="H5" s="105">
        <v>2</v>
      </c>
      <c r="I5" s="107">
        <v>2</v>
      </c>
      <c r="J5" s="107"/>
      <c r="K5" s="107"/>
      <c r="L5" s="107">
        <v>1</v>
      </c>
      <c r="M5" s="107">
        <v>2</v>
      </c>
      <c r="N5" s="107"/>
      <c r="O5" s="107"/>
      <c r="P5" s="107">
        <v>0</v>
      </c>
      <c r="Q5" s="107"/>
      <c r="R5" s="107">
        <v>7</v>
      </c>
      <c r="S5" s="108">
        <v>8</v>
      </c>
      <c r="T5" s="147">
        <v>38</v>
      </c>
      <c r="U5" s="151" t="s">
        <v>71</v>
      </c>
    </row>
    <row r="6" spans="2:21" ht="90" x14ac:dyDescent="0.2">
      <c r="B6" s="87">
        <v>2</v>
      </c>
      <c r="C6" s="102" t="s">
        <v>27</v>
      </c>
      <c r="D6" s="89"/>
      <c r="E6" s="105">
        <v>2</v>
      </c>
      <c r="F6" s="105"/>
      <c r="G6" s="106">
        <f t="shared" ref="G6:G28" si="0">SUM($E6:$F6)</f>
        <v>2</v>
      </c>
      <c r="H6" s="110">
        <v>1</v>
      </c>
      <c r="I6" s="111"/>
      <c r="J6" s="111"/>
      <c r="K6" s="111"/>
      <c r="L6" s="111"/>
      <c r="M6" s="111">
        <v>1</v>
      </c>
      <c r="N6" s="111"/>
      <c r="O6" s="111" t="s">
        <v>72</v>
      </c>
      <c r="P6" s="111">
        <v>9</v>
      </c>
      <c r="Q6" s="111"/>
      <c r="R6" s="111">
        <v>3</v>
      </c>
      <c r="S6" s="112">
        <v>6</v>
      </c>
      <c r="T6" s="148">
        <v>13</v>
      </c>
      <c r="U6" s="152" t="s">
        <v>73</v>
      </c>
    </row>
    <row r="7" spans="2:21" s="131" customFormat="1" ht="90" x14ac:dyDescent="0.25">
      <c r="B7" s="122">
        <v>3</v>
      </c>
      <c r="C7" s="129" t="s">
        <v>30</v>
      </c>
      <c r="D7" s="89"/>
      <c r="E7" s="105">
        <v>3</v>
      </c>
      <c r="F7" s="105">
        <v>1</v>
      </c>
      <c r="G7" s="106">
        <f t="shared" si="0"/>
        <v>4</v>
      </c>
      <c r="H7" s="130">
        <v>2</v>
      </c>
      <c r="I7" s="111"/>
      <c r="J7" s="111">
        <v>2</v>
      </c>
      <c r="K7" s="111"/>
      <c r="L7" s="111"/>
      <c r="M7" s="111">
        <v>1</v>
      </c>
      <c r="N7" s="111"/>
      <c r="O7" s="111" t="s">
        <v>72</v>
      </c>
      <c r="P7" s="111">
        <v>1</v>
      </c>
      <c r="Q7" s="111"/>
      <c r="R7" s="111">
        <v>1</v>
      </c>
      <c r="S7" s="112">
        <v>3</v>
      </c>
      <c r="T7" s="148">
        <v>12</v>
      </c>
      <c r="U7" s="153" t="s">
        <v>74</v>
      </c>
    </row>
    <row r="8" spans="2:21" s="131" customFormat="1" ht="90" x14ac:dyDescent="0.25">
      <c r="B8" s="87">
        <v>4</v>
      </c>
      <c r="C8" s="102" t="s">
        <v>33</v>
      </c>
      <c r="D8" s="89"/>
      <c r="E8" s="105">
        <v>2</v>
      </c>
      <c r="F8" s="105"/>
      <c r="G8" s="106">
        <f>SUM($E8:$F8)</f>
        <v>2</v>
      </c>
      <c r="H8" s="110">
        <v>2</v>
      </c>
      <c r="I8" s="111"/>
      <c r="J8" s="111">
        <v>4</v>
      </c>
      <c r="K8" s="111"/>
      <c r="L8" s="111"/>
      <c r="M8" s="111">
        <v>3</v>
      </c>
      <c r="N8" s="111"/>
      <c r="O8" s="111" t="s">
        <v>75</v>
      </c>
      <c r="P8" s="111">
        <v>0.5</v>
      </c>
      <c r="Q8" s="111"/>
      <c r="R8" s="111">
        <v>6</v>
      </c>
      <c r="S8" s="112">
        <v>9</v>
      </c>
      <c r="T8" s="148">
        <v>21</v>
      </c>
      <c r="U8" s="153" t="s">
        <v>76</v>
      </c>
    </row>
    <row r="9" spans="2:21" s="131" customFormat="1" ht="60" x14ac:dyDescent="0.25">
      <c r="B9" s="87">
        <v>5</v>
      </c>
      <c r="C9" s="102" t="s">
        <v>77</v>
      </c>
      <c r="D9" s="89"/>
      <c r="E9" s="105">
        <v>1</v>
      </c>
      <c r="F9" s="105"/>
      <c r="G9" s="106">
        <f>SUM($E9:$F9)</f>
        <v>1</v>
      </c>
      <c r="H9" s="110"/>
      <c r="I9" s="111"/>
      <c r="J9" s="111"/>
      <c r="K9" s="111"/>
      <c r="L9" s="111"/>
      <c r="M9" s="111">
        <v>2</v>
      </c>
      <c r="N9" s="111"/>
      <c r="O9" s="111"/>
      <c r="P9" s="111">
        <v>0</v>
      </c>
      <c r="Q9" s="111"/>
      <c r="R9" s="111">
        <v>1</v>
      </c>
      <c r="S9" s="112">
        <v>1</v>
      </c>
      <c r="T9" s="148">
        <v>6</v>
      </c>
      <c r="U9" s="153" t="s">
        <v>78</v>
      </c>
    </row>
    <row r="10" spans="2:21" s="131" customFormat="1" ht="75" x14ac:dyDescent="0.25">
      <c r="B10" s="87">
        <v>6</v>
      </c>
      <c r="C10" s="102" t="s">
        <v>35</v>
      </c>
      <c r="D10" s="89"/>
      <c r="E10" s="105">
        <v>5</v>
      </c>
      <c r="F10" s="105">
        <v>1</v>
      </c>
      <c r="G10" s="106">
        <f t="shared" si="0"/>
        <v>6</v>
      </c>
      <c r="H10" s="110">
        <v>1</v>
      </c>
      <c r="I10" s="111"/>
      <c r="J10" s="111">
        <v>3</v>
      </c>
      <c r="K10" s="111"/>
      <c r="L10" s="111"/>
      <c r="M10" s="111"/>
      <c r="N10" s="111"/>
      <c r="O10" s="111"/>
      <c r="P10" s="111">
        <v>0</v>
      </c>
      <c r="Q10" s="111"/>
      <c r="R10" s="111">
        <v>3</v>
      </c>
      <c r="S10" s="112">
        <v>5</v>
      </c>
      <c r="T10" s="148">
        <v>17</v>
      </c>
      <c r="U10" s="153" t="s">
        <v>79</v>
      </c>
    </row>
    <row r="11" spans="2:21" s="131" customFormat="1" ht="90" x14ac:dyDescent="0.25">
      <c r="B11" s="87">
        <v>7</v>
      </c>
      <c r="C11" s="102" t="s">
        <v>80</v>
      </c>
      <c r="D11" s="89"/>
      <c r="E11" s="105"/>
      <c r="F11" s="105">
        <v>1</v>
      </c>
      <c r="G11" s="106">
        <f t="shared" si="0"/>
        <v>1</v>
      </c>
      <c r="H11" s="110">
        <v>3</v>
      </c>
      <c r="I11" s="111">
        <v>2</v>
      </c>
      <c r="J11" s="111"/>
      <c r="K11" s="111"/>
      <c r="L11" s="111">
        <v>2</v>
      </c>
      <c r="M11" s="111">
        <v>1</v>
      </c>
      <c r="N11" s="111">
        <v>2</v>
      </c>
      <c r="O11" s="111" t="s">
        <v>81</v>
      </c>
      <c r="P11" s="111">
        <v>5</v>
      </c>
      <c r="Q11" s="111">
        <v>2</v>
      </c>
      <c r="R11" s="111">
        <v>7</v>
      </c>
      <c r="S11" s="112">
        <v>9</v>
      </c>
      <c r="T11" s="148">
        <v>8</v>
      </c>
      <c r="U11" s="153" t="s">
        <v>82</v>
      </c>
    </row>
    <row r="12" spans="2:21" s="131" customFormat="1" ht="90" x14ac:dyDescent="0.25">
      <c r="B12" s="87">
        <v>8</v>
      </c>
      <c r="C12" s="132" t="s">
        <v>40</v>
      </c>
      <c r="D12" s="89"/>
      <c r="E12" s="105">
        <v>1</v>
      </c>
      <c r="F12" s="105">
        <v>2</v>
      </c>
      <c r="G12" s="106">
        <f t="shared" si="0"/>
        <v>3</v>
      </c>
      <c r="H12" s="110"/>
      <c r="I12" s="111"/>
      <c r="J12" s="111"/>
      <c r="K12" s="111"/>
      <c r="L12" s="111"/>
      <c r="M12" s="111">
        <v>1</v>
      </c>
      <c r="N12" s="111">
        <v>2</v>
      </c>
      <c r="O12" s="111" t="s">
        <v>28</v>
      </c>
      <c r="P12" s="111">
        <v>2</v>
      </c>
      <c r="Q12" s="111">
        <v>1.5</v>
      </c>
      <c r="R12" s="111">
        <v>3</v>
      </c>
      <c r="S12" s="112">
        <v>4</v>
      </c>
      <c r="T12" s="148">
        <v>9</v>
      </c>
      <c r="U12" s="153" t="s">
        <v>83</v>
      </c>
    </row>
    <row r="13" spans="2:21" s="131" customFormat="1" ht="60" x14ac:dyDescent="0.25">
      <c r="B13" s="87">
        <v>9</v>
      </c>
      <c r="C13" s="132" t="s">
        <v>44</v>
      </c>
      <c r="D13" s="89"/>
      <c r="E13" s="105">
        <v>4</v>
      </c>
      <c r="F13" s="105"/>
      <c r="G13" s="106">
        <f t="shared" si="0"/>
        <v>4</v>
      </c>
      <c r="H13" s="110"/>
      <c r="I13" s="111"/>
      <c r="J13" s="111"/>
      <c r="K13" s="111"/>
      <c r="L13" s="111"/>
      <c r="M13" s="133"/>
      <c r="N13" s="111"/>
      <c r="O13" s="111"/>
      <c r="P13" s="111">
        <v>3</v>
      </c>
      <c r="Q13" s="111"/>
      <c r="R13" s="111">
        <v>1</v>
      </c>
      <c r="S13" s="112">
        <v>2</v>
      </c>
      <c r="T13" s="148">
        <v>10</v>
      </c>
      <c r="U13" s="151" t="s">
        <v>84</v>
      </c>
    </row>
    <row r="14" spans="2:21" s="131" customFormat="1" ht="60" x14ac:dyDescent="0.25">
      <c r="B14" s="87">
        <v>10</v>
      </c>
      <c r="C14" s="132" t="s">
        <v>47</v>
      </c>
      <c r="D14" s="89"/>
      <c r="E14" s="105">
        <v>3</v>
      </c>
      <c r="F14" s="105"/>
      <c r="G14" s="106">
        <f t="shared" si="0"/>
        <v>3</v>
      </c>
      <c r="H14" s="110"/>
      <c r="I14" s="111"/>
      <c r="J14" s="111">
        <v>1</v>
      </c>
      <c r="K14" s="111"/>
      <c r="L14" s="111"/>
      <c r="M14" s="111">
        <v>1</v>
      </c>
      <c r="N14" s="111"/>
      <c r="O14" s="111"/>
      <c r="P14" s="111">
        <v>0</v>
      </c>
      <c r="Q14" s="111"/>
      <c r="R14" s="111">
        <v>5</v>
      </c>
      <c r="S14" s="112">
        <v>8</v>
      </c>
      <c r="T14" s="148">
        <v>23</v>
      </c>
      <c r="U14" s="151" t="s">
        <v>85</v>
      </c>
    </row>
    <row r="15" spans="2:21" s="131" customFormat="1" ht="75" x14ac:dyDescent="0.25">
      <c r="B15" s="87">
        <v>11</v>
      </c>
      <c r="C15" s="102" t="s">
        <v>49</v>
      </c>
      <c r="D15" s="89"/>
      <c r="E15" s="105">
        <v>2</v>
      </c>
      <c r="F15" s="105"/>
      <c r="G15" s="106">
        <f t="shared" si="0"/>
        <v>2</v>
      </c>
      <c r="H15" s="110"/>
      <c r="I15" s="111"/>
      <c r="J15" s="111">
        <v>1</v>
      </c>
      <c r="K15" s="111"/>
      <c r="L15" s="111"/>
      <c r="M15" s="111"/>
      <c r="N15" s="111">
        <v>2</v>
      </c>
      <c r="O15" s="111" t="s">
        <v>72</v>
      </c>
      <c r="P15" s="111">
        <v>2</v>
      </c>
      <c r="Q15" s="111"/>
      <c r="R15" s="111">
        <v>1</v>
      </c>
      <c r="S15" s="112">
        <v>3</v>
      </c>
      <c r="T15" s="148">
        <v>10</v>
      </c>
      <c r="U15" s="153" t="s">
        <v>86</v>
      </c>
    </row>
    <row r="16" spans="2:21" s="131" customFormat="1" ht="75" x14ac:dyDescent="0.25">
      <c r="B16" s="87">
        <v>12</v>
      </c>
      <c r="C16" s="102" t="s">
        <v>51</v>
      </c>
      <c r="D16" s="89"/>
      <c r="E16" s="105">
        <v>2</v>
      </c>
      <c r="F16" s="105"/>
      <c r="G16" s="106">
        <f t="shared" si="0"/>
        <v>2</v>
      </c>
      <c r="H16" s="110"/>
      <c r="I16" s="111"/>
      <c r="J16" s="111">
        <v>1</v>
      </c>
      <c r="K16" s="111"/>
      <c r="L16" s="111"/>
      <c r="M16" s="111"/>
      <c r="N16" s="111"/>
      <c r="O16" s="111" t="s">
        <v>72</v>
      </c>
      <c r="P16" s="111">
        <v>3</v>
      </c>
      <c r="Q16" s="111"/>
      <c r="R16" s="111">
        <v>2</v>
      </c>
      <c r="S16" s="112">
        <v>5</v>
      </c>
      <c r="T16" s="148">
        <v>10</v>
      </c>
      <c r="U16" s="153" t="s">
        <v>87</v>
      </c>
    </row>
    <row r="17" spans="2:21" s="131" customFormat="1" ht="60" x14ac:dyDescent="0.25">
      <c r="B17" s="87">
        <v>13</v>
      </c>
      <c r="C17" s="102" t="s">
        <v>53</v>
      </c>
      <c r="D17" s="89"/>
      <c r="E17" s="105">
        <v>2</v>
      </c>
      <c r="F17" s="105"/>
      <c r="G17" s="106">
        <f t="shared" si="0"/>
        <v>2</v>
      </c>
      <c r="H17" s="110"/>
      <c r="I17" s="111"/>
      <c r="J17" s="111"/>
      <c r="K17" s="111"/>
      <c r="L17" s="111"/>
      <c r="M17" s="111"/>
      <c r="N17" s="111"/>
      <c r="O17" s="111" t="s">
        <v>72</v>
      </c>
      <c r="P17" s="111">
        <v>0</v>
      </c>
      <c r="Q17" s="111"/>
      <c r="R17" s="111">
        <v>1</v>
      </c>
      <c r="S17" s="112">
        <v>3</v>
      </c>
      <c r="T17" s="148">
        <v>2</v>
      </c>
      <c r="U17" s="153" t="s">
        <v>88</v>
      </c>
    </row>
    <row r="18" spans="2:21" s="131" customFormat="1" ht="75" x14ac:dyDescent="0.25">
      <c r="B18" s="87">
        <v>14</v>
      </c>
      <c r="C18" s="102" t="s">
        <v>55</v>
      </c>
      <c r="D18" s="89"/>
      <c r="E18" s="105">
        <v>2</v>
      </c>
      <c r="F18" s="105"/>
      <c r="G18" s="106">
        <f t="shared" si="0"/>
        <v>2</v>
      </c>
      <c r="H18" s="110"/>
      <c r="I18" s="111"/>
      <c r="J18" s="111"/>
      <c r="K18" s="111"/>
      <c r="L18" s="111"/>
      <c r="M18" s="111"/>
      <c r="N18" s="111"/>
      <c r="O18" s="111" t="s">
        <v>72</v>
      </c>
      <c r="P18" s="111">
        <v>0</v>
      </c>
      <c r="Q18" s="111"/>
      <c r="R18" s="111">
        <v>2</v>
      </c>
      <c r="S18" s="112">
        <v>2</v>
      </c>
      <c r="T18" s="148">
        <v>11</v>
      </c>
      <c r="U18" s="151" t="s">
        <v>89</v>
      </c>
    </row>
    <row r="19" spans="2:21" s="131" customFormat="1" ht="60" x14ac:dyDescent="0.25">
      <c r="B19" s="87">
        <v>15</v>
      </c>
      <c r="C19" s="102" t="s">
        <v>57</v>
      </c>
      <c r="D19" s="89"/>
      <c r="E19" s="105">
        <v>1</v>
      </c>
      <c r="F19" s="105"/>
      <c r="G19" s="106">
        <f t="shared" si="0"/>
        <v>1</v>
      </c>
      <c r="H19" s="134">
        <v>1</v>
      </c>
      <c r="I19" s="111"/>
      <c r="J19" s="111"/>
      <c r="K19" s="111"/>
      <c r="L19" s="111"/>
      <c r="M19" s="111"/>
      <c r="N19" s="111"/>
      <c r="O19" s="111"/>
      <c r="P19" s="111">
        <v>11</v>
      </c>
      <c r="Q19" s="111"/>
      <c r="R19" s="111">
        <v>0</v>
      </c>
      <c r="S19" s="112">
        <v>0</v>
      </c>
      <c r="T19" s="148">
        <v>5</v>
      </c>
      <c r="U19" s="151" t="s">
        <v>90</v>
      </c>
    </row>
    <row r="20" spans="2:21" ht="17.25" x14ac:dyDescent="0.3">
      <c r="B20" s="87">
        <v>16</v>
      </c>
      <c r="C20" s="103" t="s">
        <v>59</v>
      </c>
      <c r="D20" s="89"/>
      <c r="E20" s="113"/>
      <c r="F20" s="113"/>
      <c r="G20" s="106">
        <f t="shared" si="0"/>
        <v>0</v>
      </c>
      <c r="H20" s="116">
        <v>1</v>
      </c>
      <c r="I20" s="114"/>
      <c r="J20" s="114"/>
      <c r="K20" s="114"/>
      <c r="L20" s="114"/>
      <c r="M20" s="114"/>
      <c r="N20" s="114"/>
      <c r="O20" s="114" t="s">
        <v>81</v>
      </c>
      <c r="P20" s="114">
        <v>0.5</v>
      </c>
      <c r="Q20" s="114"/>
      <c r="R20" s="114">
        <v>1</v>
      </c>
      <c r="S20" s="115">
        <v>1</v>
      </c>
      <c r="T20" s="120">
        <v>0</v>
      </c>
      <c r="U20" s="154"/>
    </row>
    <row r="21" spans="2:21" ht="17.25" x14ac:dyDescent="0.3">
      <c r="B21" s="90">
        <v>17</v>
      </c>
      <c r="C21" s="104" t="s">
        <v>60</v>
      </c>
      <c r="D21" s="89"/>
      <c r="E21" s="113"/>
      <c r="F21" s="113"/>
      <c r="G21" s="106">
        <f t="shared" si="0"/>
        <v>0</v>
      </c>
      <c r="H21" s="116"/>
      <c r="I21" s="114"/>
      <c r="J21" s="114"/>
      <c r="K21" s="114"/>
      <c r="L21" s="114"/>
      <c r="M21" s="114"/>
      <c r="N21" s="114"/>
      <c r="O21" s="114"/>
      <c r="P21" s="114">
        <v>0</v>
      </c>
      <c r="Q21" s="114"/>
      <c r="R21" s="114">
        <v>0</v>
      </c>
      <c r="S21" s="115">
        <v>1</v>
      </c>
      <c r="T21" s="120">
        <v>0</v>
      </c>
      <c r="U21" s="154"/>
    </row>
    <row r="22" spans="2:21" ht="60" x14ac:dyDescent="0.3">
      <c r="B22" s="87">
        <v>18</v>
      </c>
      <c r="C22" s="104" t="s">
        <v>61</v>
      </c>
      <c r="D22" s="89"/>
      <c r="E22" s="113">
        <v>1</v>
      </c>
      <c r="F22" s="113"/>
      <c r="G22" s="106">
        <f t="shared" si="0"/>
        <v>1</v>
      </c>
      <c r="H22" s="116"/>
      <c r="I22" s="114"/>
      <c r="J22" s="114"/>
      <c r="K22" s="114"/>
      <c r="L22" s="114"/>
      <c r="M22" s="114"/>
      <c r="N22" s="114"/>
      <c r="O22" s="114"/>
      <c r="P22" s="114">
        <v>1.5</v>
      </c>
      <c r="Q22" s="114"/>
      <c r="R22" s="114">
        <v>0</v>
      </c>
      <c r="S22" s="115">
        <v>1</v>
      </c>
      <c r="T22" s="120">
        <v>2</v>
      </c>
      <c r="U22" s="151" t="s">
        <v>91</v>
      </c>
    </row>
    <row r="23" spans="2:21" ht="60" x14ac:dyDescent="0.3">
      <c r="B23" s="90">
        <v>19</v>
      </c>
      <c r="C23" s="104" t="s">
        <v>62</v>
      </c>
      <c r="D23" s="89"/>
      <c r="E23" s="113"/>
      <c r="F23" s="113"/>
      <c r="G23" s="106">
        <f t="shared" si="0"/>
        <v>0</v>
      </c>
      <c r="H23" s="116"/>
      <c r="I23" s="114"/>
      <c r="J23" s="114"/>
      <c r="K23" s="114"/>
      <c r="L23" s="114"/>
      <c r="M23" s="114"/>
      <c r="N23" s="114"/>
      <c r="O23" s="117" t="s">
        <v>72</v>
      </c>
      <c r="P23" s="114">
        <v>1.5</v>
      </c>
      <c r="Q23" s="114"/>
      <c r="R23" s="114">
        <v>0</v>
      </c>
      <c r="S23" s="115">
        <v>0</v>
      </c>
      <c r="T23" s="120">
        <v>2</v>
      </c>
      <c r="U23" s="151" t="s">
        <v>92</v>
      </c>
    </row>
    <row r="24" spans="2:21" s="140" customFormat="1" ht="120" x14ac:dyDescent="0.25">
      <c r="B24" s="87">
        <v>20</v>
      </c>
      <c r="C24" s="141" t="s">
        <v>63</v>
      </c>
      <c r="D24" s="125"/>
      <c r="E24" s="142"/>
      <c r="F24" s="143"/>
      <c r="G24" s="126">
        <f t="shared" si="0"/>
        <v>0</v>
      </c>
      <c r="H24" s="144"/>
      <c r="I24" s="145"/>
      <c r="J24" s="145"/>
      <c r="K24" s="145"/>
      <c r="L24" s="145"/>
      <c r="M24" s="145"/>
      <c r="N24" s="145"/>
      <c r="O24" s="145" t="s">
        <v>72</v>
      </c>
      <c r="P24" s="145">
        <v>0</v>
      </c>
      <c r="Q24" s="145"/>
      <c r="R24" s="145">
        <v>2</v>
      </c>
      <c r="S24" s="146">
        <v>2</v>
      </c>
      <c r="T24" s="149">
        <v>6</v>
      </c>
      <c r="U24" s="151" t="s">
        <v>93</v>
      </c>
    </row>
    <row r="25" spans="2:21" s="140" customFormat="1" ht="90" x14ac:dyDescent="0.25">
      <c r="B25" s="87">
        <v>21</v>
      </c>
      <c r="C25" s="135" t="s">
        <v>94</v>
      </c>
      <c r="D25" s="126"/>
      <c r="E25" s="136"/>
      <c r="F25" s="137"/>
      <c r="G25" s="126">
        <f t="shared" si="0"/>
        <v>0</v>
      </c>
      <c r="H25" s="138"/>
      <c r="I25" s="139"/>
      <c r="J25" s="139"/>
      <c r="K25" s="139"/>
      <c r="L25" s="139"/>
      <c r="M25" s="139"/>
      <c r="N25" s="139"/>
      <c r="O25" s="139"/>
      <c r="P25" s="139">
        <v>0</v>
      </c>
      <c r="Q25" s="139"/>
      <c r="R25" s="139">
        <v>0</v>
      </c>
      <c r="S25" s="109">
        <v>0</v>
      </c>
      <c r="T25" s="148"/>
      <c r="U25" s="151" t="s">
        <v>95</v>
      </c>
    </row>
    <row r="26" spans="2:21" s="140" customFormat="1" ht="90" x14ac:dyDescent="0.25">
      <c r="B26" s="87">
        <v>22</v>
      </c>
      <c r="C26" s="135" t="s">
        <v>96</v>
      </c>
      <c r="D26" s="126"/>
      <c r="E26" s="136"/>
      <c r="F26" s="137"/>
      <c r="G26" s="126">
        <f t="shared" si="0"/>
        <v>0</v>
      </c>
      <c r="H26" s="138"/>
      <c r="I26" s="139"/>
      <c r="J26" s="139"/>
      <c r="K26" s="139"/>
      <c r="L26" s="139"/>
      <c r="M26" s="139"/>
      <c r="N26" s="139"/>
      <c r="O26" s="139" t="s">
        <v>28</v>
      </c>
      <c r="P26" s="139">
        <v>0</v>
      </c>
      <c r="Q26" s="139"/>
      <c r="R26" s="139">
        <v>0</v>
      </c>
      <c r="S26" s="109"/>
      <c r="T26" s="148"/>
      <c r="U26" s="151" t="s">
        <v>97</v>
      </c>
    </row>
    <row r="27" spans="2:21" s="91" customFormat="1" ht="15" x14ac:dyDescent="0.2">
      <c r="B27" s="90"/>
      <c r="C27" s="92"/>
      <c r="D27" s="126"/>
      <c r="E27" s="118"/>
      <c r="F27" s="128"/>
      <c r="G27" s="126">
        <f t="shared" si="0"/>
        <v>0</v>
      </c>
      <c r="H27" s="127"/>
      <c r="I27" s="119"/>
      <c r="J27" s="119"/>
      <c r="K27" s="119"/>
      <c r="L27" s="119"/>
      <c r="M27" s="119"/>
      <c r="N27" s="119"/>
      <c r="O27" s="119"/>
      <c r="P27" s="119"/>
      <c r="Q27" s="119"/>
      <c r="R27" s="119"/>
      <c r="S27" s="120"/>
      <c r="T27" s="120"/>
      <c r="U27" s="155"/>
    </row>
    <row r="28" spans="2:21" ht="15.75" thickBot="1" x14ac:dyDescent="0.25">
      <c r="B28" s="93"/>
      <c r="C28" s="94" t="s">
        <v>17</v>
      </c>
      <c r="D28" s="95">
        <f>SUM(D5:D24)</f>
        <v>0</v>
      </c>
      <c r="E28" s="121">
        <f>SUM(E5:E26)</f>
        <v>34</v>
      </c>
      <c r="F28" s="121">
        <f>SUM(F5:F26)</f>
        <v>5</v>
      </c>
      <c r="G28" s="121">
        <f t="shared" si="0"/>
        <v>39</v>
      </c>
      <c r="H28" s="121">
        <f t="shared" ref="H28:T28" si="1">SUM(H5:H26)</f>
        <v>13</v>
      </c>
      <c r="I28" s="121">
        <f t="shared" si="1"/>
        <v>4</v>
      </c>
      <c r="J28" s="121">
        <f t="shared" si="1"/>
        <v>12</v>
      </c>
      <c r="K28" s="121">
        <f t="shared" si="1"/>
        <v>0</v>
      </c>
      <c r="L28" s="121">
        <f t="shared" si="1"/>
        <v>3</v>
      </c>
      <c r="M28" s="121">
        <f t="shared" si="1"/>
        <v>12</v>
      </c>
      <c r="N28" s="121">
        <f t="shared" si="1"/>
        <v>6</v>
      </c>
      <c r="O28" s="121">
        <f t="shared" si="1"/>
        <v>0</v>
      </c>
      <c r="P28" s="121">
        <f t="shared" si="1"/>
        <v>40</v>
      </c>
      <c r="Q28" s="121">
        <f t="shared" si="1"/>
        <v>3.5</v>
      </c>
      <c r="R28" s="121">
        <f t="shared" si="1"/>
        <v>46</v>
      </c>
      <c r="S28" s="121">
        <f t="shared" si="1"/>
        <v>73</v>
      </c>
      <c r="T28" s="150">
        <f t="shared" si="1"/>
        <v>205</v>
      </c>
      <c r="U28" s="154"/>
    </row>
    <row r="29" spans="2:21" ht="15" x14ac:dyDescent="0.2">
      <c r="B29" s="96"/>
      <c r="C29" s="96"/>
      <c r="D29" s="97"/>
      <c r="E29" s="98"/>
      <c r="F29" s="98"/>
      <c r="G29" s="98"/>
      <c r="H29" s="98"/>
      <c r="I29" s="96"/>
      <c r="J29" s="98"/>
      <c r="K29" s="98"/>
      <c r="L29" s="98"/>
      <c r="M29" s="98"/>
      <c r="N29" s="98"/>
      <c r="O29" s="98"/>
      <c r="P29" s="98"/>
      <c r="Q29" s="98"/>
      <c r="R29" s="98"/>
      <c r="S29" s="96"/>
      <c r="T29" s="96"/>
    </row>
    <row r="31" spans="2:21" x14ac:dyDescent="0.2">
      <c r="L31" s="91"/>
      <c r="M31" s="84"/>
      <c r="N31" s="84"/>
      <c r="O31" s="91"/>
      <c r="S31" s="100"/>
      <c r="T31" s="100"/>
    </row>
    <row r="32" spans="2:21" x14ac:dyDescent="0.2">
      <c r="D32" s="91"/>
      <c r="E32" s="99"/>
      <c r="I32" s="86"/>
      <c r="J32" s="91"/>
      <c r="K32" s="91"/>
      <c r="S32" s="86"/>
    </row>
  </sheetData>
  <mergeCells count="22">
    <mergeCell ref="U2:U4"/>
    <mergeCell ref="B1:U1"/>
    <mergeCell ref="M2:M4"/>
    <mergeCell ref="N2:N4"/>
    <mergeCell ref="T2:T4"/>
    <mergeCell ref="O2:O4"/>
    <mergeCell ref="R2:R4"/>
    <mergeCell ref="S2:S4"/>
    <mergeCell ref="M31:N31"/>
    <mergeCell ref="P2:Q3"/>
    <mergeCell ref="I2:I4"/>
    <mergeCell ref="E2:H2"/>
    <mergeCell ref="B2:B4"/>
    <mergeCell ref="C2:C4"/>
    <mergeCell ref="E3:E4"/>
    <mergeCell ref="F3:F4"/>
    <mergeCell ref="G3:G4"/>
    <mergeCell ref="H3:H4"/>
    <mergeCell ref="J2:J4"/>
    <mergeCell ref="K2:K4"/>
    <mergeCell ref="L2:L4"/>
    <mergeCell ref="D2:D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F79D0-9A2F-485F-BCE2-34B9F6550A5B}">
  <dimension ref="B1:T36"/>
  <sheetViews>
    <sheetView zoomScale="85" zoomScaleNormal="85" workbookViewId="0">
      <selection activeCell="I16" sqref="I16"/>
    </sheetView>
  </sheetViews>
  <sheetFormatPr defaultRowHeight="14.25" x14ac:dyDescent="0.2"/>
  <cols>
    <col min="1" max="1" width="9.140625" style="86"/>
    <col min="2" max="2" width="9.140625" style="91"/>
    <col min="3" max="3" width="20.42578125" style="91" customWidth="1"/>
    <col min="4" max="4" width="15.140625" style="99" hidden="1" customWidth="1"/>
    <col min="5" max="5" width="20.7109375" style="86" customWidth="1"/>
    <col min="6" max="6" width="11.85546875" style="86" customWidth="1"/>
    <col min="7" max="7" width="10.42578125" style="86" customWidth="1"/>
    <col min="8" max="8" width="13.42578125" style="86" customWidth="1"/>
    <col min="9" max="9" width="19.28515625" style="91" customWidth="1"/>
    <col min="10" max="10" width="19.28515625" style="86" customWidth="1"/>
    <col min="11" max="11" width="11.28515625" style="86" customWidth="1"/>
    <col min="12" max="12" width="7.28515625" style="86" customWidth="1"/>
    <col min="13" max="13" width="11.140625" style="86" customWidth="1"/>
    <col min="14" max="14" width="12.7109375" style="86" customWidth="1"/>
    <col min="15" max="15" width="16.140625" style="86" customWidth="1"/>
    <col min="16" max="17" width="8" style="86" customWidth="1"/>
    <col min="18" max="18" width="11" style="86" customWidth="1"/>
    <col min="19" max="19" width="16" style="91" customWidth="1"/>
    <col min="20" max="20" width="12.5703125" style="91" customWidth="1"/>
    <col min="21" max="16384" width="9.140625" style="86"/>
  </cols>
  <sheetData>
    <row r="1" spans="2:20" ht="24" thickBot="1" x14ac:dyDescent="0.4">
      <c r="B1" s="197" t="s">
        <v>98</v>
      </c>
      <c r="C1" s="198"/>
      <c r="D1" s="198"/>
      <c r="E1" s="198"/>
      <c r="F1" s="198"/>
      <c r="G1" s="198"/>
      <c r="H1" s="198"/>
      <c r="I1" s="198"/>
      <c r="J1" s="198"/>
      <c r="K1" s="198"/>
      <c r="L1" s="198"/>
      <c r="M1" s="198"/>
      <c r="N1" s="198"/>
      <c r="O1" s="198"/>
      <c r="P1" s="198"/>
      <c r="Q1" s="198"/>
      <c r="R1" s="198"/>
      <c r="S1" s="198"/>
      <c r="T1" s="198"/>
    </row>
    <row r="2" spans="2:20" ht="15" customHeight="1" thickBot="1" x14ac:dyDescent="0.25">
      <c r="B2" s="171" t="s">
        <v>1</v>
      </c>
      <c r="C2" s="174" t="s">
        <v>2</v>
      </c>
      <c r="D2" s="184" t="s">
        <v>66</v>
      </c>
      <c r="E2" s="168" t="s">
        <v>3</v>
      </c>
      <c r="F2" s="169"/>
      <c r="G2" s="169"/>
      <c r="H2" s="170"/>
      <c r="I2" s="165" t="s">
        <v>4</v>
      </c>
      <c r="J2" s="165" t="s">
        <v>5</v>
      </c>
      <c r="K2" s="165" t="s">
        <v>6</v>
      </c>
      <c r="L2" s="181" t="s">
        <v>7</v>
      </c>
      <c r="M2" s="165" t="s">
        <v>8</v>
      </c>
      <c r="N2" s="181" t="s">
        <v>9</v>
      </c>
      <c r="O2" s="165" t="s">
        <v>10</v>
      </c>
      <c r="P2" s="83" t="s">
        <v>11</v>
      </c>
      <c r="Q2" s="162"/>
      <c r="R2" s="162" t="s">
        <v>12</v>
      </c>
      <c r="S2" s="194" t="s">
        <v>13</v>
      </c>
      <c r="T2" s="199" t="s">
        <v>14</v>
      </c>
    </row>
    <row r="3" spans="2:20" ht="48" customHeight="1" thickBot="1" x14ac:dyDescent="0.25">
      <c r="B3" s="172"/>
      <c r="C3" s="175"/>
      <c r="D3" s="185"/>
      <c r="E3" s="177" t="s">
        <v>18</v>
      </c>
      <c r="F3" s="177" t="s">
        <v>68</v>
      </c>
      <c r="G3" s="179" t="s">
        <v>20</v>
      </c>
      <c r="H3" s="177" t="s">
        <v>21</v>
      </c>
      <c r="I3" s="166"/>
      <c r="J3" s="166"/>
      <c r="K3" s="166"/>
      <c r="L3" s="182"/>
      <c r="M3" s="166"/>
      <c r="N3" s="182"/>
      <c r="O3" s="166"/>
      <c r="P3" s="163"/>
      <c r="Q3" s="164"/>
      <c r="R3" s="164"/>
      <c r="S3" s="195"/>
      <c r="T3" s="200"/>
    </row>
    <row r="4" spans="2:20" ht="16.5" thickBot="1" x14ac:dyDescent="0.25">
      <c r="B4" s="173"/>
      <c r="C4" s="176"/>
      <c r="D4" s="186"/>
      <c r="E4" s="178"/>
      <c r="F4" s="178"/>
      <c r="G4" s="180"/>
      <c r="H4" s="178"/>
      <c r="I4" s="167"/>
      <c r="J4" s="167"/>
      <c r="K4" s="167"/>
      <c r="L4" s="183"/>
      <c r="M4" s="167"/>
      <c r="N4" s="183"/>
      <c r="O4" s="167"/>
      <c r="P4" s="124" t="s">
        <v>69</v>
      </c>
      <c r="Q4" s="123" t="s">
        <v>70</v>
      </c>
      <c r="R4" s="193"/>
      <c r="S4" s="196"/>
      <c r="T4" s="201"/>
    </row>
    <row r="5" spans="2:20" ht="22.5" customHeight="1" x14ac:dyDescent="0.2">
      <c r="B5" s="122">
        <v>1</v>
      </c>
      <c r="C5" s="101" t="s">
        <v>22</v>
      </c>
      <c r="D5" s="88"/>
      <c r="E5" s="105">
        <v>2</v>
      </c>
      <c r="F5" s="105"/>
      <c r="G5" s="106">
        <f>SUM($E5:$F5)</f>
        <v>2</v>
      </c>
      <c r="H5" s="105">
        <v>5</v>
      </c>
      <c r="I5" s="107"/>
      <c r="J5" s="107"/>
      <c r="K5" s="107">
        <v>1</v>
      </c>
      <c r="L5" s="107"/>
      <c r="M5" s="107">
        <v>4</v>
      </c>
      <c r="N5" s="107"/>
      <c r="O5" s="107">
        <v>0</v>
      </c>
      <c r="P5" s="107">
        <v>0</v>
      </c>
      <c r="Q5" s="107">
        <v>0</v>
      </c>
      <c r="R5" s="107">
        <v>10</v>
      </c>
      <c r="S5" s="108">
        <v>11</v>
      </c>
      <c r="T5" s="202">
        <v>31</v>
      </c>
    </row>
    <row r="6" spans="2:20" ht="17.25" x14ac:dyDescent="0.2">
      <c r="B6" s="87">
        <v>2</v>
      </c>
      <c r="C6" s="102" t="s">
        <v>27</v>
      </c>
      <c r="D6" s="89"/>
      <c r="E6" s="105">
        <v>2</v>
      </c>
      <c r="F6" s="105">
        <v>1</v>
      </c>
      <c r="G6" s="106">
        <f t="shared" ref="G6:G29" si="0">SUM($E6:$F6)</f>
        <v>3</v>
      </c>
      <c r="H6" s="110">
        <v>4</v>
      </c>
      <c r="I6" s="111"/>
      <c r="J6" s="111"/>
      <c r="K6" s="111">
        <v>1</v>
      </c>
      <c r="L6" s="111"/>
      <c r="M6" s="111">
        <v>1</v>
      </c>
      <c r="N6" s="111"/>
      <c r="O6" s="111">
        <v>0</v>
      </c>
      <c r="P6" s="111">
        <v>0.5</v>
      </c>
      <c r="Q6" s="111">
        <v>0.5</v>
      </c>
      <c r="R6" s="111">
        <v>2</v>
      </c>
      <c r="S6" s="112">
        <v>5</v>
      </c>
      <c r="T6" s="109">
        <v>24</v>
      </c>
    </row>
    <row r="7" spans="2:20" ht="17.25" x14ac:dyDescent="0.3">
      <c r="B7" s="122">
        <v>3</v>
      </c>
      <c r="C7" s="203" t="s">
        <v>30</v>
      </c>
      <c r="D7" s="89"/>
      <c r="E7" s="113">
        <v>4</v>
      </c>
      <c r="F7" s="113"/>
      <c r="G7" s="106">
        <f t="shared" si="0"/>
        <v>4</v>
      </c>
      <c r="H7" s="204"/>
      <c r="I7" s="114">
        <v>1</v>
      </c>
      <c r="J7" s="114"/>
      <c r="K7" s="114"/>
      <c r="L7" s="114">
        <v>1</v>
      </c>
      <c r="M7" s="114">
        <v>6</v>
      </c>
      <c r="N7" s="114"/>
      <c r="O7" s="114">
        <v>0</v>
      </c>
      <c r="P7" s="114">
        <v>0</v>
      </c>
      <c r="Q7" s="114">
        <v>0</v>
      </c>
      <c r="R7" s="114">
        <v>5</v>
      </c>
      <c r="S7" s="115">
        <v>5</v>
      </c>
      <c r="T7" s="205">
        <v>17</v>
      </c>
    </row>
    <row r="8" spans="2:20" ht="17.25" x14ac:dyDescent="0.3">
      <c r="B8" s="87">
        <v>4</v>
      </c>
      <c r="C8" s="103" t="s">
        <v>33</v>
      </c>
      <c r="D8" s="89"/>
      <c r="E8" s="113">
        <v>2</v>
      </c>
      <c r="F8" s="113"/>
      <c r="G8" s="106">
        <f>SUM($E8:$F8)</f>
        <v>2</v>
      </c>
      <c r="H8" s="206">
        <v>1</v>
      </c>
      <c r="I8" s="114"/>
      <c r="J8" s="114"/>
      <c r="K8" s="114">
        <v>2</v>
      </c>
      <c r="L8" s="114"/>
      <c r="M8" s="114">
        <v>2</v>
      </c>
      <c r="N8" s="114"/>
      <c r="O8" s="114">
        <v>1</v>
      </c>
      <c r="P8" s="114">
        <v>3</v>
      </c>
      <c r="Q8" s="114">
        <v>0</v>
      </c>
      <c r="R8" s="114">
        <v>5</v>
      </c>
      <c r="S8" s="115">
        <v>9</v>
      </c>
      <c r="T8" s="205">
        <v>21</v>
      </c>
    </row>
    <row r="9" spans="2:20" ht="17.25" x14ac:dyDescent="0.3">
      <c r="B9" s="90">
        <v>5</v>
      </c>
      <c r="C9" s="103" t="s">
        <v>77</v>
      </c>
      <c r="D9" s="89"/>
      <c r="E9" s="113">
        <v>1</v>
      </c>
      <c r="F9" s="113"/>
      <c r="G9" s="106">
        <f>SUM($E9:$F9)</f>
        <v>1</v>
      </c>
      <c r="H9" s="206"/>
      <c r="I9" s="114"/>
      <c r="J9" s="114"/>
      <c r="K9" s="114"/>
      <c r="L9" s="114"/>
      <c r="M9" s="114">
        <v>2</v>
      </c>
      <c r="N9" s="114"/>
      <c r="O9" s="114">
        <v>0</v>
      </c>
      <c r="P9" s="114">
        <v>1</v>
      </c>
      <c r="Q9" s="114">
        <v>0</v>
      </c>
      <c r="R9" s="114">
        <v>1</v>
      </c>
      <c r="S9" s="115">
        <v>0</v>
      </c>
      <c r="T9" s="205">
        <v>3</v>
      </c>
    </row>
    <row r="10" spans="2:20" ht="17.25" x14ac:dyDescent="0.3">
      <c r="B10" s="87">
        <v>6</v>
      </c>
      <c r="C10" s="103" t="s">
        <v>35</v>
      </c>
      <c r="D10" s="89"/>
      <c r="E10" s="113">
        <v>4.5</v>
      </c>
      <c r="F10" s="113"/>
      <c r="G10" s="106">
        <f t="shared" si="0"/>
        <v>4.5</v>
      </c>
      <c r="H10" s="206">
        <v>3</v>
      </c>
      <c r="I10" s="114"/>
      <c r="J10" s="114">
        <v>1</v>
      </c>
      <c r="K10" s="114"/>
      <c r="L10" s="114"/>
      <c r="M10" s="114">
        <v>3</v>
      </c>
      <c r="N10" s="114"/>
      <c r="O10" s="114">
        <v>0</v>
      </c>
      <c r="P10" s="114">
        <v>0</v>
      </c>
      <c r="Q10" s="114">
        <v>0</v>
      </c>
      <c r="R10" s="114">
        <v>5</v>
      </c>
      <c r="S10" s="115">
        <v>6</v>
      </c>
      <c r="T10" s="205">
        <v>29</v>
      </c>
    </row>
    <row r="11" spans="2:20" ht="17.25" x14ac:dyDescent="0.3">
      <c r="B11" s="90">
        <v>7</v>
      </c>
      <c r="C11" s="103" t="s">
        <v>80</v>
      </c>
      <c r="D11" s="89"/>
      <c r="E11" s="113"/>
      <c r="F11" s="113"/>
      <c r="G11" s="106">
        <f t="shared" si="0"/>
        <v>0</v>
      </c>
      <c r="H11" s="206"/>
      <c r="I11" s="114"/>
      <c r="J11" s="114"/>
      <c r="K11" s="114"/>
      <c r="L11" s="114"/>
      <c r="M11" s="114"/>
      <c r="N11" s="114"/>
      <c r="O11" s="114">
        <v>0</v>
      </c>
      <c r="P11" s="114">
        <v>7</v>
      </c>
      <c r="Q11" s="114">
        <v>0</v>
      </c>
      <c r="R11" s="114">
        <v>3</v>
      </c>
      <c r="S11" s="115">
        <v>5</v>
      </c>
      <c r="T11" s="205">
        <v>12</v>
      </c>
    </row>
    <row r="12" spans="2:20" ht="17.25" x14ac:dyDescent="0.3">
      <c r="B12" s="87">
        <v>8</v>
      </c>
      <c r="C12" s="104" t="s">
        <v>40</v>
      </c>
      <c r="D12" s="89"/>
      <c r="E12" s="113"/>
      <c r="F12" s="113">
        <v>2</v>
      </c>
      <c r="G12" s="106">
        <f t="shared" si="0"/>
        <v>2</v>
      </c>
      <c r="H12" s="206"/>
      <c r="I12" s="114"/>
      <c r="J12" s="114"/>
      <c r="K12" s="114"/>
      <c r="L12" s="114"/>
      <c r="M12" s="114"/>
      <c r="N12" s="114"/>
      <c r="O12" s="114">
        <v>2</v>
      </c>
      <c r="P12" s="114">
        <v>1</v>
      </c>
      <c r="Q12" s="114">
        <v>2.5</v>
      </c>
      <c r="R12" s="114">
        <v>4</v>
      </c>
      <c r="S12" s="115">
        <v>3</v>
      </c>
      <c r="T12" s="205">
        <v>11</v>
      </c>
    </row>
    <row r="13" spans="2:20" ht="17.25" x14ac:dyDescent="0.3">
      <c r="B13" s="90">
        <v>9</v>
      </c>
      <c r="C13" s="104" t="s">
        <v>44</v>
      </c>
      <c r="D13" s="89"/>
      <c r="E13" s="113">
        <v>2</v>
      </c>
      <c r="F13" s="113">
        <v>1</v>
      </c>
      <c r="G13" s="106">
        <f t="shared" si="0"/>
        <v>3</v>
      </c>
      <c r="H13" s="206"/>
      <c r="I13" s="114"/>
      <c r="J13" s="114"/>
      <c r="K13" s="114"/>
      <c r="L13" s="114"/>
      <c r="M13" s="207"/>
      <c r="N13" s="114"/>
      <c r="O13" s="114">
        <v>2</v>
      </c>
      <c r="P13" s="114">
        <v>0</v>
      </c>
      <c r="Q13" s="114">
        <v>0</v>
      </c>
      <c r="R13" s="114">
        <v>3</v>
      </c>
      <c r="S13" s="115">
        <v>5</v>
      </c>
      <c r="T13" s="205">
        <v>8</v>
      </c>
    </row>
    <row r="14" spans="2:20" ht="17.25" x14ac:dyDescent="0.3">
      <c r="B14" s="87">
        <v>10</v>
      </c>
      <c r="C14" s="104" t="s">
        <v>47</v>
      </c>
      <c r="D14" s="89"/>
      <c r="E14" s="113">
        <v>2</v>
      </c>
      <c r="F14" s="113"/>
      <c r="G14" s="106">
        <f t="shared" si="0"/>
        <v>2</v>
      </c>
      <c r="H14" s="206">
        <v>2</v>
      </c>
      <c r="I14" s="114"/>
      <c r="J14" s="114"/>
      <c r="K14" s="114"/>
      <c r="L14" s="114"/>
      <c r="M14" s="114">
        <v>1</v>
      </c>
      <c r="N14" s="114"/>
      <c r="O14" s="114">
        <v>0</v>
      </c>
      <c r="P14" s="114">
        <v>0</v>
      </c>
      <c r="Q14" s="114">
        <v>0</v>
      </c>
      <c r="R14" s="114">
        <v>2</v>
      </c>
      <c r="S14" s="115">
        <v>6</v>
      </c>
      <c r="T14" s="205">
        <v>13</v>
      </c>
    </row>
    <row r="15" spans="2:20" ht="17.25" x14ac:dyDescent="0.3">
      <c r="B15" s="90">
        <v>11</v>
      </c>
      <c r="C15" s="103" t="s">
        <v>49</v>
      </c>
      <c r="D15" s="89"/>
      <c r="E15" s="113">
        <v>2</v>
      </c>
      <c r="F15" s="113"/>
      <c r="G15" s="106">
        <f t="shared" si="0"/>
        <v>2</v>
      </c>
      <c r="H15" s="206"/>
      <c r="I15" s="114"/>
      <c r="J15" s="114"/>
      <c r="K15" s="114"/>
      <c r="L15" s="114"/>
      <c r="M15" s="114"/>
      <c r="N15" s="114"/>
      <c r="O15" s="114">
        <v>2</v>
      </c>
      <c r="P15" s="114">
        <v>7</v>
      </c>
      <c r="Q15" s="114">
        <v>0</v>
      </c>
      <c r="R15" s="114">
        <v>1</v>
      </c>
      <c r="S15" s="115">
        <v>2</v>
      </c>
      <c r="T15" s="205">
        <v>8</v>
      </c>
    </row>
    <row r="16" spans="2:20" ht="17.25" x14ac:dyDescent="0.3">
      <c r="B16" s="87">
        <v>12</v>
      </c>
      <c r="C16" s="103" t="s">
        <v>51</v>
      </c>
      <c r="D16" s="89"/>
      <c r="E16" s="113">
        <v>5.5</v>
      </c>
      <c r="F16" s="113"/>
      <c r="G16" s="106">
        <f t="shared" si="0"/>
        <v>5.5</v>
      </c>
      <c r="H16" s="206"/>
      <c r="I16" s="114"/>
      <c r="J16" s="114"/>
      <c r="K16" s="114"/>
      <c r="L16" s="114"/>
      <c r="M16" s="114"/>
      <c r="N16" s="114"/>
      <c r="O16" s="114">
        <v>30</v>
      </c>
      <c r="P16" s="114">
        <v>0</v>
      </c>
      <c r="Q16" s="114">
        <v>0</v>
      </c>
      <c r="R16" s="114">
        <v>5</v>
      </c>
      <c r="S16" s="115">
        <v>12</v>
      </c>
      <c r="T16" s="205">
        <v>22</v>
      </c>
    </row>
    <row r="17" spans="2:20" ht="17.25" x14ac:dyDescent="0.3">
      <c r="B17" s="90">
        <v>13</v>
      </c>
      <c r="C17" s="103" t="s">
        <v>53</v>
      </c>
      <c r="D17" s="89"/>
      <c r="E17" s="113">
        <v>3.5</v>
      </c>
      <c r="F17" s="113"/>
      <c r="G17" s="106">
        <f t="shared" si="0"/>
        <v>3.5</v>
      </c>
      <c r="H17" s="206"/>
      <c r="I17" s="114"/>
      <c r="J17" s="114"/>
      <c r="K17" s="114"/>
      <c r="L17" s="114"/>
      <c r="M17" s="114"/>
      <c r="N17" s="114"/>
      <c r="O17" s="114">
        <v>0</v>
      </c>
      <c r="P17" s="114">
        <v>7</v>
      </c>
      <c r="Q17" s="114">
        <v>0.5</v>
      </c>
      <c r="R17" s="114">
        <v>3</v>
      </c>
      <c r="S17" s="115">
        <v>5</v>
      </c>
      <c r="T17" s="205">
        <v>6</v>
      </c>
    </row>
    <row r="18" spans="2:20" ht="18.75" customHeight="1" x14ac:dyDescent="0.3">
      <c r="B18" s="87">
        <v>14</v>
      </c>
      <c r="C18" s="103" t="s">
        <v>55</v>
      </c>
      <c r="D18" s="89"/>
      <c r="E18" s="113">
        <v>2</v>
      </c>
      <c r="F18" s="113"/>
      <c r="G18" s="106">
        <f t="shared" si="0"/>
        <v>2</v>
      </c>
      <c r="H18" s="206"/>
      <c r="I18" s="114"/>
      <c r="J18" s="114"/>
      <c r="K18" s="114"/>
      <c r="L18" s="114"/>
      <c r="M18" s="114"/>
      <c r="N18" s="114"/>
      <c r="O18" s="114">
        <v>30</v>
      </c>
      <c r="P18" s="114">
        <v>0</v>
      </c>
      <c r="Q18" s="114">
        <v>0</v>
      </c>
      <c r="R18" s="114">
        <v>5</v>
      </c>
      <c r="S18" s="115">
        <v>5</v>
      </c>
      <c r="T18" s="205">
        <v>16</v>
      </c>
    </row>
    <row r="19" spans="2:20" ht="17.25" x14ac:dyDescent="0.3">
      <c r="B19" s="90">
        <v>15</v>
      </c>
      <c r="C19" s="103" t="s">
        <v>57</v>
      </c>
      <c r="D19" s="89"/>
      <c r="E19" s="113">
        <v>1</v>
      </c>
      <c r="F19" s="113"/>
      <c r="G19" s="106">
        <f t="shared" si="0"/>
        <v>1</v>
      </c>
      <c r="H19" s="116"/>
      <c r="I19" s="114">
        <v>5</v>
      </c>
      <c r="J19" s="114"/>
      <c r="K19" s="114"/>
      <c r="L19" s="114">
        <v>3</v>
      </c>
      <c r="M19" s="114">
        <v>1</v>
      </c>
      <c r="N19" s="114">
        <v>6</v>
      </c>
      <c r="O19" s="114">
        <v>0</v>
      </c>
      <c r="P19" s="114">
        <v>2</v>
      </c>
      <c r="Q19" s="114">
        <v>0</v>
      </c>
      <c r="R19" s="114">
        <v>5</v>
      </c>
      <c r="S19" s="115">
        <v>6</v>
      </c>
      <c r="T19" s="205">
        <v>10</v>
      </c>
    </row>
    <row r="20" spans="2:20" ht="17.25" x14ac:dyDescent="0.3">
      <c r="B20" s="87">
        <v>16</v>
      </c>
      <c r="C20" s="103" t="s">
        <v>59</v>
      </c>
      <c r="D20" s="89"/>
      <c r="E20" s="113"/>
      <c r="F20" s="113"/>
      <c r="G20" s="106">
        <f t="shared" si="0"/>
        <v>0</v>
      </c>
      <c r="H20" s="116"/>
      <c r="I20" s="114"/>
      <c r="J20" s="114"/>
      <c r="K20" s="114"/>
      <c r="L20" s="114"/>
      <c r="M20" s="114"/>
      <c r="N20" s="114"/>
      <c r="O20" s="114">
        <v>1.3</v>
      </c>
      <c r="P20" s="114">
        <v>0</v>
      </c>
      <c r="Q20" s="114">
        <v>0</v>
      </c>
      <c r="R20" s="114">
        <v>2</v>
      </c>
      <c r="S20" s="115">
        <v>0</v>
      </c>
      <c r="T20" s="205">
        <v>8</v>
      </c>
    </row>
    <row r="21" spans="2:20" ht="17.25" x14ac:dyDescent="0.3">
      <c r="B21" s="90">
        <v>17</v>
      </c>
      <c r="C21" s="104" t="s">
        <v>60</v>
      </c>
      <c r="D21" s="89"/>
      <c r="E21" s="113"/>
      <c r="F21" s="113"/>
      <c r="G21" s="106">
        <f t="shared" si="0"/>
        <v>0</v>
      </c>
      <c r="H21" s="116"/>
      <c r="I21" s="114"/>
      <c r="J21" s="114"/>
      <c r="K21" s="114"/>
      <c r="L21" s="114"/>
      <c r="M21" s="114"/>
      <c r="N21" s="114"/>
      <c r="O21" s="114">
        <v>30</v>
      </c>
      <c r="P21" s="114">
        <v>0</v>
      </c>
      <c r="Q21" s="114">
        <v>0</v>
      </c>
      <c r="R21" s="114"/>
      <c r="S21" s="115">
        <v>0</v>
      </c>
      <c r="T21" s="205">
        <v>0</v>
      </c>
    </row>
    <row r="22" spans="2:20" ht="17.25" x14ac:dyDescent="0.3">
      <c r="B22" s="87">
        <v>18</v>
      </c>
      <c r="C22" s="104" t="s">
        <v>61</v>
      </c>
      <c r="D22" s="89"/>
      <c r="E22" s="113">
        <v>2</v>
      </c>
      <c r="F22" s="113"/>
      <c r="G22" s="106">
        <f t="shared" si="0"/>
        <v>2</v>
      </c>
      <c r="H22" s="116">
        <v>4</v>
      </c>
      <c r="I22" s="114"/>
      <c r="J22" s="114"/>
      <c r="K22" s="114"/>
      <c r="L22" s="114"/>
      <c r="M22" s="114"/>
      <c r="N22" s="114"/>
      <c r="O22" s="114">
        <v>0</v>
      </c>
      <c r="P22" s="114">
        <v>0</v>
      </c>
      <c r="Q22" s="114">
        <v>0</v>
      </c>
      <c r="R22" s="114">
        <v>3</v>
      </c>
      <c r="S22" s="115">
        <v>2</v>
      </c>
      <c r="T22" s="205">
        <v>16</v>
      </c>
    </row>
    <row r="23" spans="2:20" ht="17.25" x14ac:dyDescent="0.3">
      <c r="B23" s="90">
        <v>19</v>
      </c>
      <c r="C23" s="104" t="s">
        <v>62</v>
      </c>
      <c r="D23" s="89"/>
      <c r="E23" s="113">
        <v>1</v>
      </c>
      <c r="F23" s="113"/>
      <c r="G23" s="106">
        <f t="shared" si="0"/>
        <v>1</v>
      </c>
      <c r="H23" s="116"/>
      <c r="I23" s="114"/>
      <c r="J23" s="114"/>
      <c r="K23" s="114"/>
      <c r="L23" s="114"/>
      <c r="M23" s="114"/>
      <c r="N23" s="114"/>
      <c r="O23" s="114">
        <v>0</v>
      </c>
      <c r="P23" s="114">
        <v>0</v>
      </c>
      <c r="Q23" s="114">
        <v>0</v>
      </c>
      <c r="R23" s="114">
        <v>1</v>
      </c>
      <c r="S23" s="115">
        <v>2</v>
      </c>
      <c r="T23" s="205">
        <v>3</v>
      </c>
    </row>
    <row r="24" spans="2:20" s="91" customFormat="1" ht="17.25" x14ac:dyDescent="0.3">
      <c r="B24" s="87">
        <v>20</v>
      </c>
      <c r="C24" s="208" t="s">
        <v>63</v>
      </c>
      <c r="D24" s="125"/>
      <c r="E24" s="209"/>
      <c r="F24" s="210"/>
      <c r="G24" s="126">
        <f t="shared" si="0"/>
        <v>0</v>
      </c>
      <c r="H24" s="211"/>
      <c r="I24" s="117"/>
      <c r="J24" s="117"/>
      <c r="K24" s="117"/>
      <c r="L24" s="117"/>
      <c r="M24" s="117"/>
      <c r="N24" s="117"/>
      <c r="O24" s="117">
        <v>2</v>
      </c>
      <c r="P24" s="117">
        <v>0</v>
      </c>
      <c r="Q24" s="117">
        <v>0.5</v>
      </c>
      <c r="R24" s="117">
        <v>3</v>
      </c>
      <c r="S24" s="212">
        <v>4</v>
      </c>
      <c r="T24" s="213">
        <v>12</v>
      </c>
    </row>
    <row r="25" spans="2:20" s="91" customFormat="1" ht="17.25" x14ac:dyDescent="0.3">
      <c r="B25" s="87">
        <v>21</v>
      </c>
      <c r="C25" s="214" t="s">
        <v>94</v>
      </c>
      <c r="D25" s="126"/>
      <c r="E25" s="118"/>
      <c r="F25" s="128"/>
      <c r="G25" s="126">
        <f t="shared" si="0"/>
        <v>0</v>
      </c>
      <c r="H25" s="127"/>
      <c r="I25" s="119"/>
      <c r="J25" s="119"/>
      <c r="K25" s="119"/>
      <c r="L25" s="119"/>
      <c r="M25" s="119"/>
      <c r="N25" s="119"/>
      <c r="O25" s="119">
        <v>0</v>
      </c>
      <c r="P25" s="119">
        <v>0</v>
      </c>
      <c r="Q25" s="119">
        <v>0</v>
      </c>
      <c r="R25" s="119"/>
      <c r="S25" s="205"/>
      <c r="T25" s="205"/>
    </row>
    <row r="26" spans="2:20" s="91" customFormat="1" ht="17.25" x14ac:dyDescent="0.3">
      <c r="B26" s="87">
        <v>22</v>
      </c>
      <c r="C26" s="214" t="s">
        <v>99</v>
      </c>
      <c r="D26" s="126"/>
      <c r="E26" s="118"/>
      <c r="F26" s="128"/>
      <c r="G26" s="126"/>
      <c r="H26" s="127"/>
      <c r="I26" s="119"/>
      <c r="J26" s="119"/>
      <c r="K26" s="119"/>
      <c r="L26" s="119"/>
      <c r="M26" s="119"/>
      <c r="N26" s="119"/>
      <c r="O26" s="119">
        <v>0</v>
      </c>
      <c r="P26" s="119">
        <v>0</v>
      </c>
      <c r="Q26" s="119">
        <v>0</v>
      </c>
      <c r="R26" s="119"/>
      <c r="S26" s="205">
        <v>0</v>
      </c>
      <c r="T26" s="205">
        <v>1</v>
      </c>
    </row>
    <row r="27" spans="2:20" s="91" customFormat="1" ht="17.25" x14ac:dyDescent="0.3">
      <c r="B27" s="87">
        <v>23</v>
      </c>
      <c r="C27" s="214" t="s">
        <v>96</v>
      </c>
      <c r="D27" s="126"/>
      <c r="E27" s="118"/>
      <c r="F27" s="128"/>
      <c r="G27" s="126">
        <f t="shared" si="0"/>
        <v>0</v>
      </c>
      <c r="H27" s="127"/>
      <c r="I27" s="119"/>
      <c r="J27" s="119"/>
      <c r="K27" s="119"/>
      <c r="L27" s="119"/>
      <c r="M27" s="119"/>
      <c r="N27" s="119"/>
      <c r="O27" s="119">
        <v>0</v>
      </c>
      <c r="P27" s="119">
        <v>0</v>
      </c>
      <c r="Q27" s="119">
        <v>2</v>
      </c>
      <c r="R27" s="119"/>
      <c r="S27" s="205"/>
      <c r="T27" s="205"/>
    </row>
    <row r="28" spans="2:20" s="91" customFormat="1" ht="15" x14ac:dyDescent="0.2">
      <c r="B28" s="90"/>
      <c r="C28" s="92"/>
      <c r="D28" s="126"/>
      <c r="E28" s="118"/>
      <c r="F28" s="128"/>
      <c r="G28" s="126">
        <f t="shared" si="0"/>
        <v>0</v>
      </c>
      <c r="H28" s="127"/>
      <c r="I28" s="119"/>
      <c r="J28" s="119"/>
      <c r="K28" s="119"/>
      <c r="L28" s="119"/>
      <c r="M28" s="119"/>
      <c r="N28" s="119"/>
      <c r="O28" s="119"/>
      <c r="P28" s="119"/>
      <c r="Q28" s="119"/>
      <c r="R28" s="119"/>
      <c r="S28" s="120"/>
      <c r="T28" s="205"/>
    </row>
    <row r="29" spans="2:20" ht="15.75" thickBot="1" x14ac:dyDescent="0.25">
      <c r="B29" s="93"/>
      <c r="C29" s="94" t="s">
        <v>17</v>
      </c>
      <c r="D29" s="95">
        <f>SUM(D5:D24)</f>
        <v>0</v>
      </c>
      <c r="E29" s="121">
        <f>SUM(E5:E27)</f>
        <v>36.5</v>
      </c>
      <c r="F29" s="121">
        <f>SUM(F5:F27)</f>
        <v>4</v>
      </c>
      <c r="G29" s="121">
        <f t="shared" si="0"/>
        <v>40.5</v>
      </c>
      <c r="H29" s="121">
        <f t="shared" ref="H29:T29" si="1">SUM(H5:H27)</f>
        <v>19</v>
      </c>
      <c r="I29" s="121">
        <f t="shared" si="1"/>
        <v>6</v>
      </c>
      <c r="J29" s="121">
        <f t="shared" si="1"/>
        <v>1</v>
      </c>
      <c r="K29" s="121">
        <f t="shared" si="1"/>
        <v>4</v>
      </c>
      <c r="L29" s="121">
        <f t="shared" si="1"/>
        <v>4</v>
      </c>
      <c r="M29" s="121">
        <f t="shared" si="1"/>
        <v>20</v>
      </c>
      <c r="N29" s="121">
        <f t="shared" si="1"/>
        <v>6</v>
      </c>
      <c r="O29" s="121">
        <f t="shared" si="1"/>
        <v>100.3</v>
      </c>
      <c r="P29" s="121">
        <f t="shared" si="1"/>
        <v>28.5</v>
      </c>
      <c r="Q29" s="121">
        <f t="shared" si="1"/>
        <v>6</v>
      </c>
      <c r="R29" s="121">
        <f t="shared" si="1"/>
        <v>68</v>
      </c>
      <c r="S29" s="121">
        <f t="shared" si="1"/>
        <v>93</v>
      </c>
      <c r="T29" s="121">
        <f t="shared" si="1"/>
        <v>271</v>
      </c>
    </row>
    <row r="30" spans="2:20" ht="15" x14ac:dyDescent="0.2">
      <c r="B30" s="96"/>
      <c r="C30" s="96"/>
      <c r="D30" s="97"/>
      <c r="E30" s="98"/>
      <c r="F30" s="98"/>
      <c r="G30" s="98"/>
      <c r="H30" s="98"/>
      <c r="I30" s="96"/>
      <c r="J30" s="98"/>
      <c r="K30" s="98"/>
      <c r="L30" s="98"/>
      <c r="M30" s="98"/>
      <c r="N30" s="98"/>
      <c r="O30" s="98"/>
      <c r="P30" s="98"/>
      <c r="Q30" s="98"/>
      <c r="R30" s="98"/>
      <c r="S30" s="96"/>
      <c r="T30" s="96"/>
    </row>
    <row r="32" spans="2:20" ht="15" thickBot="1" x14ac:dyDescent="0.25">
      <c r="L32" s="91"/>
      <c r="M32" s="84"/>
      <c r="N32" s="84"/>
      <c r="O32" s="91"/>
      <c r="S32" s="100"/>
      <c r="T32" s="100"/>
    </row>
    <row r="33" spans="2:19" ht="15" thickBot="1" x14ac:dyDescent="0.25">
      <c r="B33" s="215" t="s">
        <v>100</v>
      </c>
      <c r="C33" s="215" t="s">
        <v>101</v>
      </c>
      <c r="D33" s="216" t="s">
        <v>102</v>
      </c>
      <c r="E33" s="217" t="s">
        <v>102</v>
      </c>
      <c r="I33" s="86"/>
      <c r="J33" s="91"/>
      <c r="K33" s="91"/>
      <c r="S33" s="86"/>
    </row>
    <row r="34" spans="2:19" ht="15" thickBot="1" x14ac:dyDescent="0.25">
      <c r="B34" s="218">
        <v>1</v>
      </c>
      <c r="C34" s="219" t="s">
        <v>63</v>
      </c>
      <c r="D34" s="91"/>
      <c r="E34" s="220">
        <v>472</v>
      </c>
      <c r="I34" s="86"/>
      <c r="J34" s="91"/>
      <c r="K34" s="91"/>
      <c r="S34" s="86"/>
    </row>
    <row r="35" spans="2:19" ht="15" thickBot="1" x14ac:dyDescent="0.25">
      <c r="B35" s="221"/>
      <c r="C35" s="222" t="s">
        <v>17</v>
      </c>
      <c r="D35" s="223"/>
      <c r="E35" s="224">
        <f>SUM($E34)</f>
        <v>472</v>
      </c>
      <c r="I35" s="86"/>
      <c r="J35" s="91"/>
      <c r="K35" s="91"/>
      <c r="S35" s="86"/>
    </row>
    <row r="36" spans="2:19" x14ac:dyDescent="0.2">
      <c r="D36" s="91"/>
      <c r="E36" s="99"/>
      <c r="I36" s="86"/>
      <c r="J36" s="91"/>
      <c r="K36" s="91"/>
      <c r="S36" s="86"/>
    </row>
  </sheetData>
  <mergeCells count="22">
    <mergeCell ref="E3:E4"/>
    <mergeCell ref="F3:F4"/>
    <mergeCell ref="G3:G4"/>
    <mergeCell ref="H3:H4"/>
    <mergeCell ref="M32:N32"/>
    <mergeCell ref="B34:B35"/>
    <mergeCell ref="N2:N4"/>
    <mergeCell ref="O2:O4"/>
    <mergeCell ref="P2:Q3"/>
    <mergeCell ref="R2:R4"/>
    <mergeCell ref="S2:S4"/>
    <mergeCell ref="T2:T4"/>
    <mergeCell ref="B1:T1"/>
    <mergeCell ref="B2:B4"/>
    <mergeCell ref="C2:C4"/>
    <mergeCell ref="D2:D4"/>
    <mergeCell ref="E2:H2"/>
    <mergeCell ref="I2:I4"/>
    <mergeCell ref="J2:J4"/>
    <mergeCell ref="K2:K4"/>
    <mergeCell ref="L2:L4"/>
    <mergeCell ref="M2:M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AD3DD-787F-42C4-9DD3-3B6D80FE21B1}">
  <dimension ref="B1:S36"/>
  <sheetViews>
    <sheetView zoomScale="85" zoomScaleNormal="85" workbookViewId="0">
      <selection activeCell="H9" sqref="H9"/>
    </sheetView>
  </sheetViews>
  <sheetFormatPr defaultRowHeight="14.25" x14ac:dyDescent="0.2"/>
  <cols>
    <col min="1" max="1" width="9.140625" style="86"/>
    <col min="2" max="2" width="9.140625" style="91"/>
    <col min="3" max="3" width="20.42578125" style="91" customWidth="1"/>
    <col min="4" max="4" width="20.7109375" style="86" customWidth="1"/>
    <col min="5" max="5" width="11.85546875" style="86" customWidth="1"/>
    <col min="6" max="6" width="10.42578125" style="86" customWidth="1"/>
    <col min="7" max="7" width="13.42578125" style="86" customWidth="1"/>
    <col min="8" max="8" width="19.28515625" style="91" customWidth="1"/>
    <col min="9" max="9" width="19.28515625" style="86" customWidth="1"/>
    <col min="10" max="10" width="11.28515625" style="86" customWidth="1"/>
    <col min="11" max="11" width="7.28515625" style="86" customWidth="1"/>
    <col min="12" max="12" width="11.140625" style="86" customWidth="1"/>
    <col min="13" max="13" width="12.7109375" style="86" customWidth="1"/>
    <col min="14" max="14" width="16.140625" style="86" customWidth="1"/>
    <col min="15" max="16" width="8" style="86" customWidth="1"/>
    <col min="17" max="17" width="11" style="86" customWidth="1"/>
    <col min="18" max="18" width="16" style="91" customWidth="1"/>
    <col min="19" max="19" width="12.5703125" style="91" customWidth="1"/>
    <col min="20" max="16384" width="9.140625" style="86"/>
  </cols>
  <sheetData>
    <row r="1" spans="2:19" ht="24" thickBot="1" x14ac:dyDescent="0.4">
      <c r="B1" s="197" t="s">
        <v>103</v>
      </c>
      <c r="C1" s="198"/>
      <c r="D1" s="198"/>
      <c r="E1" s="198"/>
      <c r="F1" s="198"/>
      <c r="G1" s="198"/>
      <c r="H1" s="198"/>
      <c r="I1" s="198"/>
      <c r="J1" s="198"/>
      <c r="K1" s="198"/>
      <c r="L1" s="198"/>
      <c r="M1" s="198"/>
      <c r="N1" s="198"/>
      <c r="O1" s="198"/>
      <c r="P1" s="198"/>
      <c r="Q1" s="198"/>
      <c r="R1" s="198"/>
      <c r="S1" s="198"/>
    </row>
    <row r="2" spans="2:19" ht="15" customHeight="1" thickBot="1" x14ac:dyDescent="0.25">
      <c r="B2" s="171" t="s">
        <v>1</v>
      </c>
      <c r="C2" s="174" t="s">
        <v>2</v>
      </c>
      <c r="D2" s="168" t="s">
        <v>3</v>
      </c>
      <c r="E2" s="169"/>
      <c r="F2" s="169"/>
      <c r="G2" s="170"/>
      <c r="H2" s="165" t="s">
        <v>4</v>
      </c>
      <c r="I2" s="165" t="s">
        <v>5</v>
      </c>
      <c r="J2" s="165" t="s">
        <v>6</v>
      </c>
      <c r="K2" s="181" t="s">
        <v>7</v>
      </c>
      <c r="L2" s="165" t="s">
        <v>8</v>
      </c>
      <c r="M2" s="181" t="s">
        <v>9</v>
      </c>
      <c r="N2" s="165" t="s">
        <v>10</v>
      </c>
      <c r="O2" s="83" t="s">
        <v>11</v>
      </c>
      <c r="P2" s="162"/>
      <c r="Q2" s="162" t="s">
        <v>12</v>
      </c>
      <c r="R2" s="194" t="s">
        <v>13</v>
      </c>
      <c r="S2" s="199" t="s">
        <v>14</v>
      </c>
    </row>
    <row r="3" spans="2:19" ht="48" customHeight="1" thickBot="1" x14ac:dyDescent="0.25">
      <c r="B3" s="172"/>
      <c r="C3" s="175"/>
      <c r="D3" s="177" t="s">
        <v>18</v>
      </c>
      <c r="E3" s="177" t="s">
        <v>68</v>
      </c>
      <c r="F3" s="179" t="s">
        <v>20</v>
      </c>
      <c r="G3" s="177" t="s">
        <v>21</v>
      </c>
      <c r="H3" s="166"/>
      <c r="I3" s="166"/>
      <c r="J3" s="166"/>
      <c r="K3" s="182"/>
      <c r="L3" s="166"/>
      <c r="M3" s="182"/>
      <c r="N3" s="166"/>
      <c r="O3" s="163"/>
      <c r="P3" s="164"/>
      <c r="Q3" s="164"/>
      <c r="R3" s="195"/>
      <c r="S3" s="200"/>
    </row>
    <row r="4" spans="2:19" ht="16.5" thickBot="1" x14ac:dyDescent="0.25">
      <c r="B4" s="173"/>
      <c r="C4" s="176"/>
      <c r="D4" s="178"/>
      <c r="E4" s="178"/>
      <c r="F4" s="180"/>
      <c r="G4" s="178"/>
      <c r="H4" s="167"/>
      <c r="I4" s="167"/>
      <c r="J4" s="167"/>
      <c r="K4" s="183"/>
      <c r="L4" s="167"/>
      <c r="M4" s="183"/>
      <c r="N4" s="167"/>
      <c r="O4" s="124" t="s">
        <v>69</v>
      </c>
      <c r="P4" s="123" t="s">
        <v>70</v>
      </c>
      <c r="Q4" s="193"/>
      <c r="R4" s="196"/>
      <c r="S4" s="201"/>
    </row>
    <row r="5" spans="2:19" ht="22.5" customHeight="1" x14ac:dyDescent="0.2">
      <c r="B5" s="122">
        <v>1</v>
      </c>
      <c r="C5" s="101" t="s">
        <v>27</v>
      </c>
      <c r="D5" s="105">
        <v>4</v>
      </c>
      <c r="E5" s="105">
        <v>0</v>
      </c>
      <c r="F5" s="106">
        <f>SUM($D5:$E5)</f>
        <v>4</v>
      </c>
      <c r="G5" s="105">
        <v>3</v>
      </c>
      <c r="H5" s="107"/>
      <c r="I5" s="107"/>
      <c r="J5" s="107">
        <v>1</v>
      </c>
      <c r="K5" s="107">
        <v>1</v>
      </c>
      <c r="L5" s="107">
        <v>1</v>
      </c>
      <c r="M5" s="107">
        <v>1</v>
      </c>
      <c r="N5" s="107" t="s">
        <v>72</v>
      </c>
      <c r="O5" s="107">
        <v>0</v>
      </c>
      <c r="P5" s="107">
        <v>0</v>
      </c>
      <c r="Q5" s="107">
        <v>10</v>
      </c>
      <c r="R5" s="108">
        <v>10</v>
      </c>
      <c r="S5" s="202">
        <v>49</v>
      </c>
    </row>
    <row r="6" spans="2:19" ht="17.25" x14ac:dyDescent="0.2">
      <c r="B6" s="87">
        <v>2</v>
      </c>
      <c r="C6" s="102" t="s">
        <v>35</v>
      </c>
      <c r="D6" s="105">
        <v>2.5</v>
      </c>
      <c r="E6" s="105">
        <v>0</v>
      </c>
      <c r="F6" s="106">
        <f t="shared" ref="F6:F29" si="0">SUM($D6:$E6)</f>
        <v>2.5</v>
      </c>
      <c r="G6" s="110">
        <v>2</v>
      </c>
      <c r="H6" s="111"/>
      <c r="I6" s="111"/>
      <c r="J6" s="111">
        <v>1</v>
      </c>
      <c r="K6" s="114">
        <v>0</v>
      </c>
      <c r="L6" s="111">
        <v>2</v>
      </c>
      <c r="M6" s="114">
        <v>0</v>
      </c>
      <c r="N6" s="114">
        <v>0</v>
      </c>
      <c r="O6" s="111">
        <v>2</v>
      </c>
      <c r="P6" s="107">
        <v>0</v>
      </c>
      <c r="Q6" s="111">
        <v>3</v>
      </c>
      <c r="R6" s="112">
        <v>2</v>
      </c>
      <c r="S6" s="109">
        <v>13</v>
      </c>
    </row>
    <row r="7" spans="2:19" ht="17.25" x14ac:dyDescent="0.3">
      <c r="B7" s="122">
        <v>3</v>
      </c>
      <c r="C7" s="203" t="s">
        <v>104</v>
      </c>
      <c r="D7" s="113">
        <v>2.5</v>
      </c>
      <c r="E7" s="105">
        <v>0</v>
      </c>
      <c r="F7" s="106">
        <f t="shared" si="0"/>
        <v>2.5</v>
      </c>
      <c r="G7" s="204">
        <v>5</v>
      </c>
      <c r="H7" s="114"/>
      <c r="I7" s="114"/>
      <c r="J7" s="114">
        <v>0</v>
      </c>
      <c r="K7" s="114">
        <v>0</v>
      </c>
      <c r="L7" s="114">
        <v>2</v>
      </c>
      <c r="M7" s="114">
        <v>0</v>
      </c>
      <c r="N7" s="107" t="s">
        <v>72</v>
      </c>
      <c r="O7" s="114">
        <v>1</v>
      </c>
      <c r="P7" s="107">
        <v>0</v>
      </c>
      <c r="Q7" s="114">
        <v>6</v>
      </c>
      <c r="R7" s="115">
        <v>6</v>
      </c>
      <c r="S7" s="205">
        <v>27</v>
      </c>
    </row>
    <row r="8" spans="2:19" ht="17.25" x14ac:dyDescent="0.3">
      <c r="B8" s="87">
        <v>4</v>
      </c>
      <c r="C8" s="103" t="s">
        <v>105</v>
      </c>
      <c r="D8" s="113">
        <v>3.75</v>
      </c>
      <c r="E8" s="105">
        <v>0</v>
      </c>
      <c r="F8" s="106">
        <f>SUM($D8:$E8)</f>
        <v>3.75</v>
      </c>
      <c r="G8" s="206">
        <v>1</v>
      </c>
      <c r="H8" s="114"/>
      <c r="I8" s="114"/>
      <c r="J8" s="114">
        <v>0</v>
      </c>
      <c r="K8" s="114">
        <v>0</v>
      </c>
      <c r="L8" s="114">
        <v>2</v>
      </c>
      <c r="M8" s="114">
        <v>0</v>
      </c>
      <c r="N8" s="114" t="s">
        <v>106</v>
      </c>
      <c r="O8" s="114">
        <v>1</v>
      </c>
      <c r="P8" s="107">
        <v>0</v>
      </c>
      <c r="Q8" s="114">
        <v>15</v>
      </c>
      <c r="R8" s="115">
        <v>16</v>
      </c>
      <c r="S8" s="205">
        <v>44</v>
      </c>
    </row>
    <row r="9" spans="2:19" ht="17.25" x14ac:dyDescent="0.3">
      <c r="B9" s="90">
        <v>5</v>
      </c>
      <c r="C9" s="103" t="s">
        <v>107</v>
      </c>
      <c r="D9" s="113">
        <v>3.5</v>
      </c>
      <c r="E9" s="105">
        <v>0</v>
      </c>
      <c r="F9" s="106">
        <f>SUM($D9:$E9)</f>
        <v>3.5</v>
      </c>
      <c r="G9" s="206">
        <v>2</v>
      </c>
      <c r="H9" s="114"/>
      <c r="I9" s="114"/>
      <c r="J9" s="114">
        <v>0</v>
      </c>
      <c r="K9" s="114">
        <v>0</v>
      </c>
      <c r="L9" s="114">
        <v>2</v>
      </c>
      <c r="M9" s="114">
        <v>0</v>
      </c>
      <c r="N9" s="114" t="s">
        <v>108</v>
      </c>
      <c r="O9" s="114">
        <v>2</v>
      </c>
      <c r="P9" s="107">
        <v>0</v>
      </c>
      <c r="Q9" s="114">
        <v>11</v>
      </c>
      <c r="R9" s="115">
        <v>15</v>
      </c>
      <c r="S9" s="205">
        <v>41</v>
      </c>
    </row>
    <row r="10" spans="2:19" ht="17.25" x14ac:dyDescent="0.3">
      <c r="B10" s="87">
        <v>6</v>
      </c>
      <c r="C10" s="103" t="s">
        <v>55</v>
      </c>
      <c r="D10" s="113">
        <v>3</v>
      </c>
      <c r="E10" s="105">
        <v>0</v>
      </c>
      <c r="F10" s="106">
        <f t="shared" si="0"/>
        <v>3</v>
      </c>
      <c r="G10" s="209">
        <v>0</v>
      </c>
      <c r="H10" s="114"/>
      <c r="I10" s="114"/>
      <c r="J10" s="114">
        <v>1</v>
      </c>
      <c r="K10" s="114">
        <v>0</v>
      </c>
      <c r="L10" s="114">
        <v>1</v>
      </c>
      <c r="M10" s="114">
        <v>0</v>
      </c>
      <c r="N10" s="114" t="s">
        <v>28</v>
      </c>
      <c r="O10" s="114">
        <v>1</v>
      </c>
      <c r="P10" s="107">
        <v>0</v>
      </c>
      <c r="Q10" s="114">
        <v>8</v>
      </c>
      <c r="R10" s="115">
        <v>8</v>
      </c>
      <c r="S10" s="205">
        <v>26</v>
      </c>
    </row>
    <row r="11" spans="2:19" ht="17.25" x14ac:dyDescent="0.3">
      <c r="B11" s="90">
        <v>7</v>
      </c>
      <c r="C11" s="103" t="s">
        <v>62</v>
      </c>
      <c r="D11" s="113">
        <v>1</v>
      </c>
      <c r="E11" s="105">
        <v>0</v>
      </c>
      <c r="F11" s="106">
        <f t="shared" si="0"/>
        <v>1</v>
      </c>
      <c r="G11" s="206">
        <v>1</v>
      </c>
      <c r="H11" s="114"/>
      <c r="I11" s="114"/>
      <c r="J11" s="114">
        <v>0</v>
      </c>
      <c r="K11" s="114">
        <v>0</v>
      </c>
      <c r="L11" s="114">
        <v>0</v>
      </c>
      <c r="M11" s="114">
        <v>1</v>
      </c>
      <c r="N11" s="114" t="s">
        <v>72</v>
      </c>
      <c r="O11" s="114">
        <v>2</v>
      </c>
      <c r="P11" s="107">
        <v>0</v>
      </c>
      <c r="Q11" s="114">
        <v>1</v>
      </c>
      <c r="R11" s="115">
        <v>1</v>
      </c>
      <c r="S11" s="205">
        <v>3</v>
      </c>
    </row>
    <row r="12" spans="2:19" ht="17.25" x14ac:dyDescent="0.3">
      <c r="B12" s="87">
        <v>8</v>
      </c>
      <c r="C12" s="104" t="s">
        <v>99</v>
      </c>
      <c r="D12" s="113">
        <v>1</v>
      </c>
      <c r="E12" s="105">
        <v>0</v>
      </c>
      <c r="F12" s="106">
        <f t="shared" si="0"/>
        <v>1</v>
      </c>
      <c r="G12" s="206">
        <v>2</v>
      </c>
      <c r="H12" s="114"/>
      <c r="I12" s="114"/>
      <c r="J12" s="114">
        <v>0</v>
      </c>
      <c r="K12" s="114">
        <v>0</v>
      </c>
      <c r="L12" s="114">
        <v>0</v>
      </c>
      <c r="M12" s="114">
        <v>0</v>
      </c>
      <c r="N12" s="114" t="s">
        <v>28</v>
      </c>
      <c r="O12" s="114">
        <v>0</v>
      </c>
      <c r="P12" s="107">
        <v>0</v>
      </c>
      <c r="Q12" s="114">
        <v>1</v>
      </c>
      <c r="R12" s="115">
        <v>0</v>
      </c>
      <c r="S12" s="205">
        <v>1</v>
      </c>
    </row>
    <row r="13" spans="2:19" ht="17.25" x14ac:dyDescent="0.3">
      <c r="B13" s="90">
        <v>9</v>
      </c>
      <c r="C13" s="104" t="s">
        <v>109</v>
      </c>
      <c r="D13" s="113">
        <v>2.87</v>
      </c>
      <c r="E13" s="105">
        <v>0</v>
      </c>
      <c r="F13" s="106">
        <f t="shared" si="0"/>
        <v>2.87</v>
      </c>
      <c r="G13" s="206">
        <v>1</v>
      </c>
      <c r="H13" s="114"/>
      <c r="I13" s="114"/>
      <c r="J13" s="114">
        <v>0</v>
      </c>
      <c r="K13" s="114">
        <v>0</v>
      </c>
      <c r="L13" s="114">
        <v>0</v>
      </c>
      <c r="M13" s="114">
        <v>0</v>
      </c>
      <c r="N13" s="114">
        <v>0</v>
      </c>
      <c r="O13" s="114">
        <v>1.5</v>
      </c>
      <c r="P13" s="107">
        <v>0</v>
      </c>
      <c r="Q13" s="114">
        <v>2</v>
      </c>
      <c r="R13" s="115">
        <v>1</v>
      </c>
      <c r="S13" s="205">
        <v>7</v>
      </c>
    </row>
    <row r="14" spans="2:19" ht="17.25" x14ac:dyDescent="0.3">
      <c r="B14" s="87">
        <v>10</v>
      </c>
      <c r="C14" s="104" t="s">
        <v>57</v>
      </c>
      <c r="D14" s="113">
        <v>3</v>
      </c>
      <c r="E14" s="105">
        <v>0</v>
      </c>
      <c r="F14" s="106">
        <f t="shared" si="0"/>
        <v>3</v>
      </c>
      <c r="G14" s="206">
        <v>0</v>
      </c>
      <c r="H14" s="114"/>
      <c r="I14" s="114"/>
      <c r="J14" s="114">
        <v>0</v>
      </c>
      <c r="K14" s="114">
        <v>0</v>
      </c>
      <c r="L14" s="114">
        <v>2</v>
      </c>
      <c r="M14" s="114">
        <v>0</v>
      </c>
      <c r="N14" s="114" t="s">
        <v>72</v>
      </c>
      <c r="O14" s="114">
        <v>1</v>
      </c>
      <c r="P14" s="107">
        <v>0</v>
      </c>
      <c r="Q14" s="114">
        <v>3</v>
      </c>
      <c r="R14" s="115">
        <v>3</v>
      </c>
      <c r="S14" s="205">
        <v>23</v>
      </c>
    </row>
    <row r="15" spans="2:19" ht="17.25" x14ac:dyDescent="0.3">
      <c r="B15" s="90">
        <v>11</v>
      </c>
      <c r="C15" s="103" t="s">
        <v>110</v>
      </c>
      <c r="D15" s="113">
        <v>1</v>
      </c>
      <c r="E15" s="105">
        <v>0</v>
      </c>
      <c r="F15" s="106">
        <f t="shared" si="0"/>
        <v>1</v>
      </c>
      <c r="G15" s="206">
        <v>0</v>
      </c>
      <c r="H15" s="114"/>
      <c r="I15" s="114"/>
      <c r="J15" s="114">
        <v>0</v>
      </c>
      <c r="K15" s="114">
        <v>0</v>
      </c>
      <c r="L15" s="114">
        <v>0</v>
      </c>
      <c r="M15" s="114">
        <v>0</v>
      </c>
      <c r="N15" s="114">
        <v>0</v>
      </c>
      <c r="O15" s="114">
        <v>0</v>
      </c>
      <c r="P15" s="107">
        <v>0</v>
      </c>
      <c r="Q15" s="114">
        <v>1</v>
      </c>
      <c r="R15" s="115">
        <v>2</v>
      </c>
      <c r="S15" s="205">
        <v>10</v>
      </c>
    </row>
    <row r="16" spans="2:19" ht="17.25" x14ac:dyDescent="0.3">
      <c r="B16" s="87">
        <v>12</v>
      </c>
      <c r="C16" s="103" t="s">
        <v>30</v>
      </c>
      <c r="D16" s="113">
        <v>5</v>
      </c>
      <c r="E16" s="105">
        <v>0</v>
      </c>
      <c r="F16" s="106">
        <f t="shared" si="0"/>
        <v>5</v>
      </c>
      <c r="G16" s="206">
        <v>0</v>
      </c>
      <c r="H16" s="114"/>
      <c r="I16" s="114"/>
      <c r="J16" s="114">
        <v>0</v>
      </c>
      <c r="K16" s="114">
        <v>1</v>
      </c>
      <c r="L16" s="114">
        <v>1</v>
      </c>
      <c r="M16" s="114">
        <v>0</v>
      </c>
      <c r="N16" s="107" t="s">
        <v>72</v>
      </c>
      <c r="O16" s="114">
        <v>0</v>
      </c>
      <c r="P16" s="107">
        <v>0</v>
      </c>
      <c r="Q16" s="114">
        <v>4</v>
      </c>
      <c r="R16" s="115">
        <v>4</v>
      </c>
      <c r="S16" s="205">
        <v>12</v>
      </c>
    </row>
    <row r="17" spans="2:19" ht="17.25" x14ac:dyDescent="0.3">
      <c r="B17" s="90">
        <v>13</v>
      </c>
      <c r="C17" s="103" t="s">
        <v>61</v>
      </c>
      <c r="D17" s="113">
        <v>2</v>
      </c>
      <c r="E17" s="105">
        <v>0</v>
      </c>
      <c r="F17" s="106">
        <f t="shared" si="0"/>
        <v>2</v>
      </c>
      <c r="G17" s="206">
        <v>4</v>
      </c>
      <c r="H17" s="114"/>
      <c r="I17" s="114"/>
      <c r="J17" s="114">
        <v>0</v>
      </c>
      <c r="K17" s="114">
        <v>0</v>
      </c>
      <c r="L17" s="114">
        <v>0</v>
      </c>
      <c r="M17" s="114">
        <v>0</v>
      </c>
      <c r="N17" s="114" t="s">
        <v>111</v>
      </c>
      <c r="O17" s="114">
        <v>5</v>
      </c>
      <c r="P17" s="107">
        <v>0</v>
      </c>
      <c r="Q17" s="114">
        <v>1</v>
      </c>
      <c r="R17" s="115">
        <v>0</v>
      </c>
      <c r="S17" s="205">
        <v>12</v>
      </c>
    </row>
    <row r="18" spans="2:19" ht="18.75" customHeight="1" x14ac:dyDescent="0.3">
      <c r="B18" s="87">
        <v>14</v>
      </c>
      <c r="C18" s="103" t="s">
        <v>63</v>
      </c>
      <c r="D18" s="113">
        <v>1</v>
      </c>
      <c r="E18" s="105">
        <v>0</v>
      </c>
      <c r="F18" s="106">
        <f t="shared" si="0"/>
        <v>1</v>
      </c>
      <c r="G18" s="206">
        <v>1</v>
      </c>
      <c r="H18" s="114"/>
      <c r="I18" s="114"/>
      <c r="J18" s="114">
        <v>0</v>
      </c>
      <c r="K18" s="114">
        <v>0</v>
      </c>
      <c r="L18" s="114">
        <v>1</v>
      </c>
      <c r="M18" s="114">
        <v>1</v>
      </c>
      <c r="N18" s="114" t="s">
        <v>28</v>
      </c>
      <c r="O18" s="114">
        <v>1</v>
      </c>
      <c r="P18" s="107">
        <v>0</v>
      </c>
      <c r="Q18" s="114">
        <v>4</v>
      </c>
      <c r="R18" s="115">
        <v>8</v>
      </c>
      <c r="S18" s="205">
        <v>23</v>
      </c>
    </row>
    <row r="19" spans="2:19" ht="17.25" x14ac:dyDescent="0.3">
      <c r="B19" s="90">
        <v>15</v>
      </c>
      <c r="C19" s="103" t="s">
        <v>44</v>
      </c>
      <c r="D19" s="113">
        <v>1.5</v>
      </c>
      <c r="E19" s="105">
        <v>0</v>
      </c>
      <c r="F19" s="106">
        <f t="shared" si="0"/>
        <v>1.5</v>
      </c>
      <c r="G19" s="206">
        <v>0</v>
      </c>
      <c r="H19" s="114"/>
      <c r="I19" s="114"/>
      <c r="J19" s="114">
        <v>0</v>
      </c>
      <c r="K19" s="114">
        <v>0</v>
      </c>
      <c r="L19" s="114">
        <v>0</v>
      </c>
      <c r="M19" s="114">
        <v>0</v>
      </c>
      <c r="N19" s="107" t="s">
        <v>72</v>
      </c>
      <c r="O19" s="114">
        <v>1.5</v>
      </c>
      <c r="P19" s="107">
        <v>0</v>
      </c>
      <c r="Q19" s="114">
        <v>1</v>
      </c>
      <c r="R19" s="115">
        <v>2</v>
      </c>
      <c r="S19" s="205">
        <v>10</v>
      </c>
    </row>
    <row r="20" spans="2:19" ht="17.25" x14ac:dyDescent="0.3">
      <c r="B20" s="87">
        <v>16</v>
      </c>
      <c r="C20" s="103" t="s">
        <v>49</v>
      </c>
      <c r="D20" s="113">
        <v>2.87</v>
      </c>
      <c r="E20" s="105">
        <v>0</v>
      </c>
      <c r="F20" s="106">
        <f t="shared" si="0"/>
        <v>2.87</v>
      </c>
      <c r="G20" s="206">
        <v>0</v>
      </c>
      <c r="H20" s="114"/>
      <c r="I20" s="114"/>
      <c r="J20" s="114">
        <v>0</v>
      </c>
      <c r="K20" s="114">
        <v>0</v>
      </c>
      <c r="L20" s="114">
        <v>0</v>
      </c>
      <c r="M20" s="114">
        <v>0</v>
      </c>
      <c r="N20" s="114" t="s">
        <v>111</v>
      </c>
      <c r="O20" s="114">
        <v>2</v>
      </c>
      <c r="P20" s="107">
        <v>0</v>
      </c>
      <c r="Q20" s="114">
        <v>3</v>
      </c>
      <c r="R20" s="115">
        <v>3</v>
      </c>
      <c r="S20" s="205">
        <v>14</v>
      </c>
    </row>
    <row r="21" spans="2:19" ht="17.25" x14ac:dyDescent="0.3">
      <c r="B21" s="90">
        <v>17</v>
      </c>
      <c r="C21" s="104" t="s">
        <v>40</v>
      </c>
      <c r="D21" s="113"/>
      <c r="E21" s="105">
        <v>0</v>
      </c>
      <c r="F21" s="106">
        <f t="shared" si="0"/>
        <v>0</v>
      </c>
      <c r="G21" s="116">
        <v>3</v>
      </c>
      <c r="H21" s="114"/>
      <c r="I21" s="114"/>
      <c r="J21" s="114">
        <v>0</v>
      </c>
      <c r="K21" s="114">
        <v>0</v>
      </c>
      <c r="L21" s="114">
        <v>0</v>
      </c>
      <c r="M21" s="114">
        <v>0</v>
      </c>
      <c r="N21" s="107" t="s">
        <v>72</v>
      </c>
      <c r="O21" s="114">
        <v>3</v>
      </c>
      <c r="P21" s="107">
        <v>0</v>
      </c>
      <c r="Q21" s="114">
        <v>2</v>
      </c>
      <c r="R21" s="115">
        <v>2</v>
      </c>
      <c r="S21" s="205">
        <v>19</v>
      </c>
    </row>
    <row r="22" spans="2:19" ht="17.25" x14ac:dyDescent="0.3">
      <c r="B22" s="87">
        <v>18</v>
      </c>
      <c r="C22" s="104" t="s">
        <v>77</v>
      </c>
      <c r="D22" s="113">
        <v>2.5</v>
      </c>
      <c r="E22" s="105">
        <v>0</v>
      </c>
      <c r="F22" s="106">
        <f t="shared" si="0"/>
        <v>2.5</v>
      </c>
      <c r="G22" s="206">
        <v>0</v>
      </c>
      <c r="H22" s="114"/>
      <c r="I22" s="114"/>
      <c r="J22" s="114">
        <v>0</v>
      </c>
      <c r="K22" s="114">
        <v>0</v>
      </c>
      <c r="L22" s="114">
        <v>3</v>
      </c>
      <c r="M22" s="114">
        <v>0</v>
      </c>
      <c r="N22" s="114">
        <v>0</v>
      </c>
      <c r="O22" s="114">
        <v>0</v>
      </c>
      <c r="P22" s="107">
        <v>0</v>
      </c>
      <c r="Q22" s="114">
        <v>5</v>
      </c>
      <c r="R22" s="115">
        <v>6</v>
      </c>
      <c r="S22" s="205">
        <v>19</v>
      </c>
    </row>
    <row r="23" spans="2:19" ht="17.25" x14ac:dyDescent="0.3">
      <c r="B23" s="90">
        <v>19</v>
      </c>
      <c r="C23" s="104" t="s">
        <v>112</v>
      </c>
      <c r="D23" s="113">
        <v>1</v>
      </c>
      <c r="E23" s="105">
        <v>0</v>
      </c>
      <c r="F23" s="106">
        <f t="shared" si="0"/>
        <v>1</v>
      </c>
      <c r="G23" s="206">
        <v>0</v>
      </c>
      <c r="H23" s="114"/>
      <c r="I23" s="114"/>
      <c r="J23" s="114">
        <v>0</v>
      </c>
      <c r="K23" s="114">
        <v>0</v>
      </c>
      <c r="L23" s="114">
        <v>0</v>
      </c>
      <c r="M23" s="114">
        <v>0</v>
      </c>
      <c r="N23" s="114">
        <v>0</v>
      </c>
      <c r="O23" s="114">
        <v>1</v>
      </c>
      <c r="P23" s="107">
        <v>0</v>
      </c>
      <c r="Q23" s="114">
        <v>0</v>
      </c>
      <c r="R23" s="115">
        <v>0</v>
      </c>
      <c r="S23" s="205">
        <v>0</v>
      </c>
    </row>
    <row r="24" spans="2:19" s="91" customFormat="1" ht="17.25" x14ac:dyDescent="0.3">
      <c r="B24" s="87">
        <v>20</v>
      </c>
      <c r="C24" s="208" t="s">
        <v>113</v>
      </c>
      <c r="D24" s="118">
        <v>0</v>
      </c>
      <c r="E24" s="225">
        <v>0</v>
      </c>
      <c r="F24" s="126">
        <f t="shared" si="0"/>
        <v>0</v>
      </c>
      <c r="G24" s="206">
        <v>0</v>
      </c>
      <c r="H24" s="117"/>
      <c r="I24" s="117"/>
      <c r="J24" s="114">
        <v>0</v>
      </c>
      <c r="K24" s="114">
        <v>0</v>
      </c>
      <c r="L24" s="114">
        <v>0</v>
      </c>
      <c r="M24" s="114">
        <v>0</v>
      </c>
      <c r="N24" s="107" t="s">
        <v>72</v>
      </c>
      <c r="O24" s="114">
        <v>0</v>
      </c>
      <c r="P24" s="107">
        <v>0</v>
      </c>
      <c r="Q24" s="114">
        <v>0</v>
      </c>
      <c r="R24" s="212">
        <v>0</v>
      </c>
      <c r="S24" s="213">
        <v>1</v>
      </c>
    </row>
    <row r="25" spans="2:19" s="91" customFormat="1" ht="17.25" x14ac:dyDescent="0.3">
      <c r="B25" s="87">
        <v>21</v>
      </c>
      <c r="C25" s="214" t="s">
        <v>114</v>
      </c>
      <c r="D25" s="118">
        <v>0</v>
      </c>
      <c r="E25" s="225">
        <v>0</v>
      </c>
      <c r="F25" s="126">
        <f t="shared" si="0"/>
        <v>0</v>
      </c>
      <c r="G25" s="206">
        <v>0</v>
      </c>
      <c r="H25" s="119"/>
      <c r="I25" s="119"/>
      <c r="J25" s="114">
        <v>0</v>
      </c>
      <c r="K25" s="114">
        <v>0</v>
      </c>
      <c r="L25" s="114">
        <v>0</v>
      </c>
      <c r="M25" s="114">
        <v>0</v>
      </c>
      <c r="N25" s="107" t="s">
        <v>72</v>
      </c>
      <c r="O25" s="114">
        <v>0</v>
      </c>
      <c r="P25" s="107">
        <v>0</v>
      </c>
      <c r="Q25" s="114">
        <v>0</v>
      </c>
      <c r="R25" s="115">
        <v>0</v>
      </c>
      <c r="S25" s="205">
        <v>0</v>
      </c>
    </row>
    <row r="26" spans="2:19" s="91" customFormat="1" ht="17.25" x14ac:dyDescent="0.3">
      <c r="B26" s="87">
        <v>22</v>
      </c>
      <c r="C26" s="214" t="s">
        <v>115</v>
      </c>
      <c r="D26" s="118">
        <v>0</v>
      </c>
      <c r="E26" s="225">
        <v>0</v>
      </c>
      <c r="F26" s="126"/>
      <c r="G26" s="206">
        <v>0</v>
      </c>
      <c r="H26" s="119"/>
      <c r="I26" s="119"/>
      <c r="J26" s="114">
        <v>0</v>
      </c>
      <c r="K26" s="114">
        <v>0</v>
      </c>
      <c r="L26" s="114">
        <v>0</v>
      </c>
      <c r="M26" s="114">
        <v>0</v>
      </c>
      <c r="N26" s="119">
        <v>0</v>
      </c>
      <c r="O26" s="119">
        <v>2</v>
      </c>
      <c r="P26" s="107">
        <v>0</v>
      </c>
      <c r="Q26" s="114">
        <v>0</v>
      </c>
      <c r="R26" s="115">
        <v>0</v>
      </c>
      <c r="S26" s="205">
        <v>0</v>
      </c>
    </row>
    <row r="27" spans="2:19" s="91" customFormat="1" ht="17.25" x14ac:dyDescent="0.3">
      <c r="B27" s="87">
        <v>23</v>
      </c>
      <c r="C27" s="214" t="s">
        <v>116</v>
      </c>
      <c r="D27" s="118">
        <v>1</v>
      </c>
      <c r="E27" s="225">
        <v>0</v>
      </c>
      <c r="F27" s="126">
        <f t="shared" si="0"/>
        <v>1</v>
      </c>
      <c r="G27" s="206">
        <v>0</v>
      </c>
      <c r="H27" s="119"/>
      <c r="I27" s="119"/>
      <c r="J27" s="114">
        <v>0</v>
      </c>
      <c r="K27" s="114">
        <v>0</v>
      </c>
      <c r="L27" s="114">
        <v>0</v>
      </c>
      <c r="M27" s="114">
        <v>0</v>
      </c>
      <c r="N27" s="107" t="s">
        <v>72</v>
      </c>
      <c r="O27" s="114">
        <v>0</v>
      </c>
      <c r="P27" s="107">
        <v>0</v>
      </c>
      <c r="Q27" s="114">
        <v>0</v>
      </c>
      <c r="R27" s="205">
        <v>1</v>
      </c>
      <c r="S27" s="205">
        <v>1</v>
      </c>
    </row>
    <row r="28" spans="2:19" s="91" customFormat="1" ht="17.25" x14ac:dyDescent="0.3">
      <c r="B28" s="90">
        <v>24</v>
      </c>
      <c r="C28" s="214" t="s">
        <v>117</v>
      </c>
      <c r="D28" s="118">
        <v>3</v>
      </c>
      <c r="E28" s="105">
        <v>0</v>
      </c>
      <c r="F28" s="126">
        <f t="shared" si="0"/>
        <v>3</v>
      </c>
      <c r="G28" s="206">
        <v>0</v>
      </c>
      <c r="H28" s="119"/>
      <c r="I28" s="119"/>
      <c r="J28" s="114">
        <v>0</v>
      </c>
      <c r="K28" s="114">
        <v>0</v>
      </c>
      <c r="L28" s="114">
        <v>0</v>
      </c>
      <c r="M28" s="114">
        <v>0</v>
      </c>
      <c r="N28" s="119">
        <v>0</v>
      </c>
      <c r="O28" s="119">
        <v>4</v>
      </c>
      <c r="P28" s="107">
        <v>0</v>
      </c>
      <c r="Q28" s="119">
        <v>2</v>
      </c>
      <c r="R28" s="120">
        <v>2</v>
      </c>
      <c r="S28" s="205">
        <v>3</v>
      </c>
    </row>
    <row r="29" spans="2:19" ht="15.75" thickBot="1" x14ac:dyDescent="0.25">
      <c r="B29" s="93"/>
      <c r="C29" s="94" t="s">
        <v>17</v>
      </c>
      <c r="D29" s="121">
        <f>SUM(D5:D27)</f>
        <v>44.99</v>
      </c>
      <c r="E29" s="121">
        <f>SUM(E5:E27)</f>
        <v>0</v>
      </c>
      <c r="F29" s="121">
        <f t="shared" si="0"/>
        <v>44.99</v>
      </c>
      <c r="G29" s="121">
        <f t="shared" ref="G29:P29" si="1">SUM(G5:G27)</f>
        <v>25</v>
      </c>
      <c r="H29" s="121">
        <f t="shared" si="1"/>
        <v>0</v>
      </c>
      <c r="I29" s="121">
        <f t="shared" si="1"/>
        <v>0</v>
      </c>
      <c r="J29" s="121">
        <f t="shared" si="1"/>
        <v>3</v>
      </c>
      <c r="K29" s="121">
        <f t="shared" si="1"/>
        <v>2</v>
      </c>
      <c r="L29" s="121">
        <f t="shared" si="1"/>
        <v>17</v>
      </c>
      <c r="M29" s="121">
        <f t="shared" si="1"/>
        <v>3</v>
      </c>
      <c r="N29" s="121">
        <f t="shared" si="1"/>
        <v>0</v>
      </c>
      <c r="O29" s="121">
        <f t="shared" si="1"/>
        <v>27</v>
      </c>
      <c r="P29" s="121">
        <f t="shared" si="1"/>
        <v>0</v>
      </c>
      <c r="Q29" s="121">
        <f>SUM(Q5:Q28)</f>
        <v>83</v>
      </c>
      <c r="R29" s="121">
        <f>SUM(R5:R28)</f>
        <v>92</v>
      </c>
      <c r="S29" s="121">
        <f>SUM(S5:S28)</f>
        <v>358</v>
      </c>
    </row>
    <row r="30" spans="2:19" ht="15" x14ac:dyDescent="0.2">
      <c r="B30" s="96"/>
      <c r="C30" s="96"/>
      <c r="D30" s="98"/>
      <c r="E30" s="98"/>
      <c r="F30" s="98"/>
      <c r="G30" s="98"/>
      <c r="H30" s="96"/>
      <c r="I30" s="98"/>
      <c r="J30" s="98"/>
      <c r="K30" s="98"/>
      <c r="L30" s="98"/>
      <c r="M30" s="98"/>
      <c r="N30" s="98"/>
      <c r="O30" s="98"/>
      <c r="P30" s="98"/>
      <c r="Q30" s="98"/>
      <c r="R30" s="96"/>
      <c r="S30" s="96"/>
    </row>
    <row r="32" spans="2:19" ht="15" thickBot="1" x14ac:dyDescent="0.25">
      <c r="K32" s="91"/>
      <c r="L32" s="84"/>
      <c r="M32" s="84"/>
      <c r="N32" s="91"/>
      <c r="R32" s="100"/>
      <c r="S32" s="100"/>
    </row>
    <row r="33" spans="2:18" ht="15" thickBot="1" x14ac:dyDescent="0.25">
      <c r="B33" s="215" t="s">
        <v>100</v>
      </c>
      <c r="C33" s="215" t="s">
        <v>101</v>
      </c>
      <c r="D33" s="217" t="s">
        <v>102</v>
      </c>
      <c r="H33" s="86"/>
      <c r="I33" s="91"/>
      <c r="J33" s="91"/>
      <c r="R33" s="86"/>
    </row>
    <row r="34" spans="2:18" ht="15" thickBot="1" x14ac:dyDescent="0.25">
      <c r="B34" s="218">
        <v>1</v>
      </c>
      <c r="C34" s="219" t="s">
        <v>63</v>
      </c>
      <c r="D34" s="220">
        <v>593</v>
      </c>
      <c r="H34" s="86"/>
      <c r="I34" s="91"/>
      <c r="J34" s="91"/>
      <c r="R34" s="86"/>
    </row>
    <row r="35" spans="2:18" ht="15" thickBot="1" x14ac:dyDescent="0.25">
      <c r="B35" s="221"/>
      <c r="C35" s="222" t="s">
        <v>17</v>
      </c>
      <c r="D35" s="224">
        <f>SUM($D34)</f>
        <v>593</v>
      </c>
      <c r="H35" s="86"/>
      <c r="I35" s="91"/>
      <c r="J35" s="91"/>
      <c r="R35" s="86"/>
    </row>
    <row r="36" spans="2:18" x14ac:dyDescent="0.2">
      <c r="D36" s="99"/>
      <c r="H36" s="86"/>
      <c r="I36" s="91"/>
      <c r="J36" s="91"/>
      <c r="R36" s="86"/>
    </row>
  </sheetData>
  <mergeCells count="21">
    <mergeCell ref="L32:M32"/>
    <mergeCell ref="B34:B35"/>
    <mergeCell ref="N2:N4"/>
    <mergeCell ref="O2:P3"/>
    <mergeCell ref="Q2:Q4"/>
    <mergeCell ref="R2:R4"/>
    <mergeCell ref="S2:S4"/>
    <mergeCell ref="D3:D4"/>
    <mergeCell ref="E3:E4"/>
    <mergeCell ref="F3:F4"/>
    <mergeCell ref="G3:G4"/>
    <mergeCell ref="B1:S1"/>
    <mergeCell ref="B2:B4"/>
    <mergeCell ref="C2:C4"/>
    <mergeCell ref="D2:G2"/>
    <mergeCell ref="H2:H4"/>
    <mergeCell ref="I2:I4"/>
    <mergeCell ref="J2:J4"/>
    <mergeCell ref="K2:K4"/>
    <mergeCell ref="L2:L4"/>
    <mergeCell ref="M2:M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8E402-2802-4BE1-A020-8218D67DF50B}">
  <dimension ref="B1:T36"/>
  <sheetViews>
    <sheetView zoomScale="85" zoomScaleNormal="85" workbookViewId="0">
      <selection sqref="A1:XFD1048576"/>
    </sheetView>
  </sheetViews>
  <sheetFormatPr defaultRowHeight="14.25" x14ac:dyDescent="0.2"/>
  <cols>
    <col min="1" max="1" width="9.140625" style="86"/>
    <col min="2" max="2" width="9.140625" style="91"/>
    <col min="3" max="3" width="20.42578125" style="91" customWidth="1"/>
    <col min="4" max="4" width="15.140625" style="99" hidden="1" customWidth="1"/>
    <col min="5" max="5" width="20.7109375" style="86" customWidth="1"/>
    <col min="6" max="6" width="11.85546875" style="86" customWidth="1"/>
    <col min="7" max="7" width="10.42578125" style="86" customWidth="1"/>
    <col min="8" max="8" width="13.42578125" style="86" customWidth="1"/>
    <col min="9" max="9" width="19.28515625" style="91" customWidth="1"/>
    <col min="10" max="10" width="19.28515625" style="86" customWidth="1"/>
    <col min="11" max="11" width="11.28515625" style="86" customWidth="1"/>
    <col min="12" max="12" width="7.28515625" style="86" customWidth="1"/>
    <col min="13" max="13" width="11.140625" style="86" customWidth="1"/>
    <col min="14" max="14" width="12.7109375" style="86" customWidth="1"/>
    <col min="15" max="15" width="16.140625" style="86" customWidth="1"/>
    <col min="16" max="17" width="8" style="86" customWidth="1"/>
    <col min="18" max="18" width="11" style="86" customWidth="1"/>
    <col min="19" max="19" width="16" style="91" customWidth="1"/>
    <col min="20" max="20" width="12.5703125" style="91" customWidth="1"/>
    <col min="21" max="16384" width="9.140625" style="86"/>
  </cols>
  <sheetData>
    <row r="1" spans="2:20" ht="24" thickBot="1" x14ac:dyDescent="0.4">
      <c r="B1" s="197" t="s">
        <v>118</v>
      </c>
      <c r="C1" s="198"/>
      <c r="D1" s="198"/>
      <c r="E1" s="198"/>
      <c r="F1" s="198"/>
      <c r="G1" s="198"/>
      <c r="H1" s="198"/>
      <c r="I1" s="198"/>
      <c r="J1" s="198"/>
      <c r="K1" s="198"/>
      <c r="L1" s="198"/>
      <c r="M1" s="198"/>
      <c r="N1" s="198"/>
      <c r="O1" s="198"/>
      <c r="P1" s="198"/>
      <c r="Q1" s="198"/>
      <c r="R1" s="198"/>
      <c r="S1" s="198"/>
      <c r="T1" s="198"/>
    </row>
    <row r="2" spans="2:20" ht="15" customHeight="1" thickBot="1" x14ac:dyDescent="0.25">
      <c r="B2" s="171" t="s">
        <v>1</v>
      </c>
      <c r="C2" s="174" t="s">
        <v>2</v>
      </c>
      <c r="D2" s="184" t="s">
        <v>66</v>
      </c>
      <c r="E2" s="168" t="s">
        <v>3</v>
      </c>
      <c r="F2" s="169"/>
      <c r="G2" s="169"/>
      <c r="H2" s="170"/>
      <c r="I2" s="165" t="s">
        <v>4</v>
      </c>
      <c r="J2" s="165" t="s">
        <v>5</v>
      </c>
      <c r="K2" s="165" t="s">
        <v>6</v>
      </c>
      <c r="L2" s="181" t="s">
        <v>7</v>
      </c>
      <c r="M2" s="165" t="s">
        <v>8</v>
      </c>
      <c r="N2" s="181" t="s">
        <v>9</v>
      </c>
      <c r="O2" s="165" t="s">
        <v>10</v>
      </c>
      <c r="P2" s="83" t="s">
        <v>11</v>
      </c>
      <c r="Q2" s="162"/>
      <c r="R2" s="162" t="s">
        <v>12</v>
      </c>
      <c r="S2" s="194" t="s">
        <v>13</v>
      </c>
      <c r="T2" s="199" t="s">
        <v>14</v>
      </c>
    </row>
    <row r="3" spans="2:20" ht="48" customHeight="1" thickBot="1" x14ac:dyDescent="0.25">
      <c r="B3" s="172"/>
      <c r="C3" s="175"/>
      <c r="D3" s="185"/>
      <c r="E3" s="177" t="s">
        <v>18</v>
      </c>
      <c r="F3" s="177" t="s">
        <v>68</v>
      </c>
      <c r="G3" s="179" t="s">
        <v>20</v>
      </c>
      <c r="H3" s="177" t="s">
        <v>21</v>
      </c>
      <c r="I3" s="166"/>
      <c r="J3" s="166"/>
      <c r="K3" s="166"/>
      <c r="L3" s="182"/>
      <c r="M3" s="166"/>
      <c r="N3" s="182"/>
      <c r="O3" s="166"/>
      <c r="P3" s="163"/>
      <c r="Q3" s="164"/>
      <c r="R3" s="164"/>
      <c r="S3" s="195"/>
      <c r="T3" s="200"/>
    </row>
    <row r="4" spans="2:20" ht="16.5" thickBot="1" x14ac:dyDescent="0.25">
      <c r="B4" s="173"/>
      <c r="C4" s="176"/>
      <c r="D4" s="186"/>
      <c r="E4" s="178"/>
      <c r="F4" s="178"/>
      <c r="G4" s="180"/>
      <c r="H4" s="178"/>
      <c r="I4" s="167"/>
      <c r="J4" s="167"/>
      <c r="K4" s="167"/>
      <c r="L4" s="183"/>
      <c r="M4" s="167"/>
      <c r="N4" s="183"/>
      <c r="O4" s="167"/>
      <c r="P4" s="124" t="s">
        <v>69</v>
      </c>
      <c r="Q4" s="123" t="s">
        <v>70</v>
      </c>
      <c r="R4" s="193"/>
      <c r="S4" s="196"/>
      <c r="T4" s="201"/>
    </row>
    <row r="5" spans="2:20" ht="22.5" customHeight="1" x14ac:dyDescent="0.2">
      <c r="B5" s="122">
        <v>1</v>
      </c>
      <c r="C5" s="101" t="s">
        <v>27</v>
      </c>
      <c r="D5" s="88"/>
      <c r="E5" s="105">
        <v>1</v>
      </c>
      <c r="F5" s="105"/>
      <c r="G5" s="106">
        <f>SUM($E5:$F5)</f>
        <v>1</v>
      </c>
      <c r="H5" s="105"/>
      <c r="I5" s="107" t="s">
        <v>119</v>
      </c>
      <c r="J5" s="107" t="s">
        <v>119</v>
      </c>
      <c r="K5" s="107" t="s">
        <v>119</v>
      </c>
      <c r="L5" s="107" t="s">
        <v>119</v>
      </c>
      <c r="M5" s="107" t="s">
        <v>119</v>
      </c>
      <c r="N5" s="107" t="s">
        <v>119</v>
      </c>
      <c r="O5" s="107" t="s">
        <v>119</v>
      </c>
      <c r="P5" s="107"/>
      <c r="Q5" s="107" t="s">
        <v>119</v>
      </c>
      <c r="R5" s="107">
        <v>2</v>
      </c>
      <c r="S5" s="108">
        <v>10</v>
      </c>
      <c r="T5" s="202">
        <v>18</v>
      </c>
    </row>
    <row r="6" spans="2:20" ht="17.25" x14ac:dyDescent="0.2">
      <c r="B6" s="87">
        <v>2</v>
      </c>
      <c r="C6" s="102" t="s">
        <v>35</v>
      </c>
      <c r="D6" s="89"/>
      <c r="E6" s="105">
        <v>6</v>
      </c>
      <c r="F6" s="105">
        <v>1</v>
      </c>
      <c r="G6" s="106">
        <f t="shared" ref="G6:G29" si="0">SUM($E6:$F6)</f>
        <v>7</v>
      </c>
      <c r="H6" s="110"/>
      <c r="I6" s="107" t="s">
        <v>119</v>
      </c>
      <c r="J6" s="107" t="s">
        <v>119</v>
      </c>
      <c r="K6" s="111">
        <v>1</v>
      </c>
      <c r="L6" s="107" t="s">
        <v>119</v>
      </c>
      <c r="M6" s="107" t="s">
        <v>119</v>
      </c>
      <c r="N6" s="107" t="s">
        <v>119</v>
      </c>
      <c r="O6" s="107" t="s">
        <v>119</v>
      </c>
      <c r="P6" s="111">
        <v>2</v>
      </c>
      <c r="Q6" s="107" t="s">
        <v>119</v>
      </c>
      <c r="R6" s="111">
        <v>2</v>
      </c>
      <c r="S6" s="112">
        <v>9</v>
      </c>
      <c r="T6" s="109">
        <v>27</v>
      </c>
    </row>
    <row r="7" spans="2:20" ht="17.25" x14ac:dyDescent="0.3">
      <c r="B7" s="122">
        <v>3</v>
      </c>
      <c r="C7" s="203" t="s">
        <v>104</v>
      </c>
      <c r="D7" s="89"/>
      <c r="E7" s="113">
        <v>1</v>
      </c>
      <c r="F7" s="105"/>
      <c r="G7" s="106">
        <f t="shared" si="0"/>
        <v>1</v>
      </c>
      <c r="H7" s="204">
        <v>8</v>
      </c>
      <c r="I7" s="107" t="s">
        <v>119</v>
      </c>
      <c r="J7" s="107" t="s">
        <v>119</v>
      </c>
      <c r="K7" s="114">
        <v>4</v>
      </c>
      <c r="L7" s="107" t="s">
        <v>119</v>
      </c>
      <c r="M7" s="107" t="s">
        <v>119</v>
      </c>
      <c r="N7" s="107" t="s">
        <v>119</v>
      </c>
      <c r="O7" s="114" t="s">
        <v>72</v>
      </c>
      <c r="P7" s="114">
        <v>3</v>
      </c>
      <c r="Q7" s="107" t="s">
        <v>119</v>
      </c>
      <c r="R7" s="114">
        <v>2</v>
      </c>
      <c r="S7" s="115">
        <v>11</v>
      </c>
      <c r="T7" s="205">
        <v>33</v>
      </c>
    </row>
    <row r="8" spans="2:20" ht="17.25" x14ac:dyDescent="0.3">
      <c r="B8" s="87">
        <v>4</v>
      </c>
      <c r="C8" s="103" t="s">
        <v>105</v>
      </c>
      <c r="D8" s="89"/>
      <c r="E8" s="113">
        <v>3</v>
      </c>
      <c r="F8" s="105"/>
      <c r="G8" s="106">
        <f>SUM($E8:$F8)</f>
        <v>3</v>
      </c>
      <c r="H8" s="206">
        <v>1</v>
      </c>
      <c r="I8" s="107" t="s">
        <v>119</v>
      </c>
      <c r="J8" s="107" t="s">
        <v>119</v>
      </c>
      <c r="K8" s="107" t="s">
        <v>119</v>
      </c>
      <c r="L8" s="107" t="s">
        <v>119</v>
      </c>
      <c r="M8" s="107" t="s">
        <v>119</v>
      </c>
      <c r="N8" s="107" t="s">
        <v>119</v>
      </c>
      <c r="O8" s="114" t="s">
        <v>72</v>
      </c>
      <c r="P8" s="107" t="s">
        <v>119</v>
      </c>
      <c r="Q8" s="107" t="s">
        <v>119</v>
      </c>
      <c r="R8" s="114"/>
      <c r="S8" s="115">
        <v>13</v>
      </c>
      <c r="T8" s="205">
        <v>27</v>
      </c>
    </row>
    <row r="9" spans="2:20" ht="17.25" x14ac:dyDescent="0.3">
      <c r="B9" s="122">
        <v>5</v>
      </c>
      <c r="C9" s="103" t="s">
        <v>107</v>
      </c>
      <c r="D9" s="89"/>
      <c r="E9" s="113">
        <v>2</v>
      </c>
      <c r="F9" s="105"/>
      <c r="G9" s="106">
        <f>SUM($E9:$F9)</f>
        <v>2</v>
      </c>
      <c r="H9" s="206">
        <v>1</v>
      </c>
      <c r="I9" s="107" t="s">
        <v>119</v>
      </c>
      <c r="J9" s="107" t="s">
        <v>119</v>
      </c>
      <c r="K9" s="114">
        <v>2</v>
      </c>
      <c r="L9" s="107" t="s">
        <v>119</v>
      </c>
      <c r="M9" s="114">
        <v>9</v>
      </c>
      <c r="N9" s="107" t="s">
        <v>119</v>
      </c>
      <c r="O9" s="114" t="s">
        <v>72</v>
      </c>
      <c r="P9" s="107" t="s">
        <v>119</v>
      </c>
      <c r="Q9" s="107" t="s">
        <v>119</v>
      </c>
      <c r="R9" s="114">
        <v>1</v>
      </c>
      <c r="S9" s="115">
        <v>16</v>
      </c>
      <c r="T9" s="205">
        <v>40</v>
      </c>
    </row>
    <row r="10" spans="2:20" ht="17.25" x14ac:dyDescent="0.3">
      <c r="B10" s="87">
        <v>6</v>
      </c>
      <c r="C10" s="103" t="s">
        <v>55</v>
      </c>
      <c r="D10" s="89"/>
      <c r="E10" s="113">
        <v>6</v>
      </c>
      <c r="F10" s="105"/>
      <c r="G10" s="106">
        <f t="shared" si="0"/>
        <v>6</v>
      </c>
      <c r="H10" s="206"/>
      <c r="I10" s="107" t="s">
        <v>119</v>
      </c>
      <c r="J10" s="107" t="s">
        <v>119</v>
      </c>
      <c r="K10" s="107" t="s">
        <v>119</v>
      </c>
      <c r="L10" s="107" t="s">
        <v>119</v>
      </c>
      <c r="M10" s="107" t="s">
        <v>119</v>
      </c>
      <c r="N10" s="107" t="s">
        <v>119</v>
      </c>
      <c r="O10" s="114" t="s">
        <v>72</v>
      </c>
      <c r="P10" s="107" t="s">
        <v>119</v>
      </c>
      <c r="Q10" s="107" t="s">
        <v>119</v>
      </c>
      <c r="R10" s="114">
        <v>2</v>
      </c>
      <c r="S10" s="115">
        <v>18</v>
      </c>
      <c r="T10" s="205">
        <v>33</v>
      </c>
    </row>
    <row r="11" spans="2:20" ht="17.25" x14ac:dyDescent="0.3">
      <c r="B11" s="122">
        <v>7</v>
      </c>
      <c r="C11" s="103" t="s">
        <v>62</v>
      </c>
      <c r="D11" s="89"/>
      <c r="E11" s="113"/>
      <c r="F11" s="105">
        <v>1</v>
      </c>
      <c r="G11" s="106">
        <f t="shared" si="0"/>
        <v>1</v>
      </c>
      <c r="H11" s="206"/>
      <c r="I11" s="107" t="s">
        <v>119</v>
      </c>
      <c r="J11" s="107" t="s">
        <v>119</v>
      </c>
      <c r="K11" s="107" t="s">
        <v>119</v>
      </c>
      <c r="L11" s="107" t="s">
        <v>119</v>
      </c>
      <c r="M11" s="107" t="s">
        <v>119</v>
      </c>
      <c r="N11" s="107" t="s">
        <v>119</v>
      </c>
      <c r="O11" s="114" t="s">
        <v>81</v>
      </c>
      <c r="P11" s="114">
        <v>1</v>
      </c>
      <c r="Q11" s="107" t="s">
        <v>119</v>
      </c>
      <c r="R11" s="107" t="s">
        <v>119</v>
      </c>
      <c r="S11" s="115">
        <v>1</v>
      </c>
      <c r="T11" s="205">
        <v>0</v>
      </c>
    </row>
    <row r="12" spans="2:20" ht="17.25" x14ac:dyDescent="0.3">
      <c r="B12" s="87">
        <v>8</v>
      </c>
      <c r="C12" s="104" t="s">
        <v>99</v>
      </c>
      <c r="D12" s="89"/>
      <c r="E12" s="113">
        <v>2</v>
      </c>
      <c r="F12" s="105"/>
      <c r="G12" s="106">
        <f t="shared" si="0"/>
        <v>2</v>
      </c>
      <c r="H12" s="206">
        <v>1</v>
      </c>
      <c r="I12" s="107" t="s">
        <v>119</v>
      </c>
      <c r="J12" s="107" t="s">
        <v>119</v>
      </c>
      <c r="K12" s="107" t="s">
        <v>119</v>
      </c>
      <c r="L12" s="107" t="s">
        <v>119</v>
      </c>
      <c r="M12" s="114">
        <v>1</v>
      </c>
      <c r="N12" s="107" t="s">
        <v>119</v>
      </c>
      <c r="O12" s="107" t="s">
        <v>119</v>
      </c>
      <c r="P12" s="107" t="s">
        <v>119</v>
      </c>
      <c r="Q12" s="107" t="s">
        <v>119</v>
      </c>
      <c r="R12" s="107" t="s">
        <v>119</v>
      </c>
      <c r="S12" s="115">
        <v>9</v>
      </c>
      <c r="T12" s="205">
        <v>18</v>
      </c>
    </row>
    <row r="13" spans="2:20" ht="17.25" x14ac:dyDescent="0.3">
      <c r="B13" s="122">
        <v>9</v>
      </c>
      <c r="C13" s="104" t="s">
        <v>109</v>
      </c>
      <c r="D13" s="89"/>
      <c r="E13" s="113">
        <v>2.5</v>
      </c>
      <c r="F13" s="105"/>
      <c r="G13" s="106">
        <f t="shared" si="0"/>
        <v>2.5</v>
      </c>
      <c r="H13" s="206"/>
      <c r="I13" s="107" t="s">
        <v>119</v>
      </c>
      <c r="J13" s="107" t="s">
        <v>119</v>
      </c>
      <c r="K13" s="107" t="s">
        <v>119</v>
      </c>
      <c r="L13" s="107" t="s">
        <v>119</v>
      </c>
      <c r="M13" s="107" t="s">
        <v>119</v>
      </c>
      <c r="N13" s="107" t="s">
        <v>119</v>
      </c>
      <c r="O13" s="107" t="s">
        <v>119</v>
      </c>
      <c r="P13" s="107" t="s">
        <v>119</v>
      </c>
      <c r="Q13" s="107" t="s">
        <v>119</v>
      </c>
      <c r="R13" s="107" t="s">
        <v>119</v>
      </c>
      <c r="S13" s="115">
        <v>8</v>
      </c>
      <c r="T13" s="205">
        <v>12</v>
      </c>
    </row>
    <row r="14" spans="2:20" ht="17.25" x14ac:dyDescent="0.3">
      <c r="B14" s="87">
        <v>10</v>
      </c>
      <c r="C14" s="104" t="s">
        <v>57</v>
      </c>
      <c r="D14" s="89"/>
      <c r="E14" s="113">
        <v>3</v>
      </c>
      <c r="F14" s="105"/>
      <c r="G14" s="106">
        <f t="shared" si="0"/>
        <v>3</v>
      </c>
      <c r="H14" s="206">
        <v>2</v>
      </c>
      <c r="I14" s="107" t="s">
        <v>119</v>
      </c>
      <c r="J14" s="107" t="s">
        <v>119</v>
      </c>
      <c r="K14" s="107" t="s">
        <v>119</v>
      </c>
      <c r="L14" s="107" t="s">
        <v>119</v>
      </c>
      <c r="M14" s="114">
        <v>1</v>
      </c>
      <c r="N14" s="107" t="s">
        <v>119</v>
      </c>
      <c r="O14" s="114" t="s">
        <v>28</v>
      </c>
      <c r="P14" s="114">
        <v>2.5</v>
      </c>
      <c r="Q14" s="107" t="s">
        <v>119</v>
      </c>
      <c r="R14" s="114">
        <v>1</v>
      </c>
      <c r="S14" s="115">
        <v>10</v>
      </c>
      <c r="T14" s="205">
        <v>13</v>
      </c>
    </row>
    <row r="15" spans="2:20" ht="17.25" x14ac:dyDescent="0.3">
      <c r="B15" s="122">
        <v>11</v>
      </c>
      <c r="C15" s="103" t="s">
        <v>30</v>
      </c>
      <c r="D15" s="89"/>
      <c r="E15" s="113">
        <v>4</v>
      </c>
      <c r="F15" s="105"/>
      <c r="G15" s="106">
        <f t="shared" si="0"/>
        <v>4</v>
      </c>
      <c r="H15" s="206"/>
      <c r="I15" s="107" t="s">
        <v>119</v>
      </c>
      <c r="J15" s="107" t="s">
        <v>119</v>
      </c>
      <c r="K15" s="114">
        <v>2</v>
      </c>
      <c r="L15" s="107" t="s">
        <v>119</v>
      </c>
      <c r="M15" s="107" t="s">
        <v>119</v>
      </c>
      <c r="N15" s="107" t="s">
        <v>119</v>
      </c>
      <c r="O15" s="114" t="s">
        <v>72</v>
      </c>
      <c r="P15" s="114">
        <v>2</v>
      </c>
      <c r="Q15" s="114">
        <v>1</v>
      </c>
      <c r="R15" s="114">
        <v>5</v>
      </c>
      <c r="S15" s="115">
        <v>15</v>
      </c>
      <c r="T15" s="205">
        <v>42</v>
      </c>
    </row>
    <row r="16" spans="2:20" ht="17.25" x14ac:dyDescent="0.3">
      <c r="B16" s="87">
        <v>12</v>
      </c>
      <c r="C16" s="103" t="s">
        <v>61</v>
      </c>
      <c r="D16" s="89"/>
      <c r="E16" s="113">
        <v>4</v>
      </c>
      <c r="F16" s="105"/>
      <c r="G16" s="106">
        <f t="shared" si="0"/>
        <v>4</v>
      </c>
      <c r="H16" s="206">
        <v>1</v>
      </c>
      <c r="I16" s="107" t="s">
        <v>119</v>
      </c>
      <c r="J16" s="107" t="s">
        <v>119</v>
      </c>
      <c r="K16" s="107" t="s">
        <v>119</v>
      </c>
      <c r="L16" s="107" t="s">
        <v>119</v>
      </c>
      <c r="M16" s="107" t="s">
        <v>119</v>
      </c>
      <c r="N16" s="107" t="s">
        <v>119</v>
      </c>
      <c r="O16" s="114" t="s">
        <v>72</v>
      </c>
      <c r="P16" s="114">
        <v>1</v>
      </c>
      <c r="Q16" s="107" t="s">
        <v>119</v>
      </c>
      <c r="R16" s="107" t="s">
        <v>119</v>
      </c>
      <c r="S16" s="115">
        <v>13</v>
      </c>
      <c r="T16" s="205">
        <v>9</v>
      </c>
    </row>
    <row r="17" spans="2:20" ht="18.75" customHeight="1" x14ac:dyDescent="0.3">
      <c r="B17" s="122">
        <v>13</v>
      </c>
      <c r="C17" s="103" t="s">
        <v>63</v>
      </c>
      <c r="D17" s="89"/>
      <c r="E17" s="113">
        <v>1</v>
      </c>
      <c r="F17" s="105"/>
      <c r="G17" s="106">
        <f t="shared" si="0"/>
        <v>1</v>
      </c>
      <c r="H17" s="206"/>
      <c r="I17" s="114">
        <v>1</v>
      </c>
      <c r="J17" s="107" t="s">
        <v>119</v>
      </c>
      <c r="K17" s="114">
        <v>4</v>
      </c>
      <c r="L17" s="107" t="s">
        <v>119</v>
      </c>
      <c r="M17" s="107" t="s">
        <v>119</v>
      </c>
      <c r="N17" s="114">
        <v>2</v>
      </c>
      <c r="O17" s="114" t="s">
        <v>72</v>
      </c>
      <c r="P17" s="107" t="s">
        <v>119</v>
      </c>
      <c r="Q17" s="107" t="s">
        <v>119</v>
      </c>
      <c r="R17" s="107" t="s">
        <v>119</v>
      </c>
      <c r="S17" s="115">
        <v>11</v>
      </c>
      <c r="T17" s="205">
        <v>17</v>
      </c>
    </row>
    <row r="18" spans="2:20" ht="17.25" x14ac:dyDescent="0.3">
      <c r="B18" s="87">
        <v>14</v>
      </c>
      <c r="C18" s="103" t="s">
        <v>44</v>
      </c>
      <c r="D18" s="89"/>
      <c r="E18" s="113">
        <v>4</v>
      </c>
      <c r="F18" s="105"/>
      <c r="G18" s="106">
        <f t="shared" si="0"/>
        <v>4</v>
      </c>
      <c r="H18" s="116"/>
      <c r="I18" s="107" t="s">
        <v>119</v>
      </c>
      <c r="J18" s="107" t="s">
        <v>119</v>
      </c>
      <c r="K18" s="107" t="s">
        <v>119</v>
      </c>
      <c r="L18" s="107" t="s">
        <v>119</v>
      </c>
      <c r="M18" s="107" t="s">
        <v>119</v>
      </c>
      <c r="N18" s="107" t="s">
        <v>119</v>
      </c>
      <c r="O18" s="114" t="s">
        <v>72</v>
      </c>
      <c r="P18" s="114">
        <v>1</v>
      </c>
      <c r="Q18" s="107" t="s">
        <v>119</v>
      </c>
      <c r="R18" s="114">
        <v>2</v>
      </c>
      <c r="S18" s="115">
        <v>6</v>
      </c>
      <c r="T18" s="205">
        <v>22</v>
      </c>
    </row>
    <row r="19" spans="2:20" ht="17.25" x14ac:dyDescent="0.3">
      <c r="B19" s="122">
        <v>15</v>
      </c>
      <c r="C19" s="103" t="s">
        <v>49</v>
      </c>
      <c r="D19" s="89"/>
      <c r="E19" s="113">
        <v>2.5</v>
      </c>
      <c r="F19" s="105"/>
      <c r="G19" s="106">
        <f t="shared" si="0"/>
        <v>2.5</v>
      </c>
      <c r="H19" s="116"/>
      <c r="I19" s="107" t="s">
        <v>119</v>
      </c>
      <c r="J19" s="107" t="s">
        <v>119</v>
      </c>
      <c r="K19" s="107" t="s">
        <v>119</v>
      </c>
      <c r="L19" s="107" t="s">
        <v>119</v>
      </c>
      <c r="M19" s="107" t="s">
        <v>119</v>
      </c>
      <c r="N19" s="107" t="s">
        <v>119</v>
      </c>
      <c r="O19" s="107" t="s">
        <v>119</v>
      </c>
      <c r="P19" s="114">
        <v>1</v>
      </c>
      <c r="Q19" s="107">
        <v>3.5</v>
      </c>
      <c r="R19" s="107" t="s">
        <v>119</v>
      </c>
      <c r="S19" s="115">
        <v>7</v>
      </c>
      <c r="T19" s="205">
        <v>14</v>
      </c>
    </row>
    <row r="20" spans="2:20" ht="17.25" x14ac:dyDescent="0.3">
      <c r="B20" s="87">
        <v>16</v>
      </c>
      <c r="C20" s="104" t="s">
        <v>40</v>
      </c>
      <c r="D20" s="89"/>
      <c r="E20" s="113">
        <v>2</v>
      </c>
      <c r="F20" s="105"/>
      <c r="G20" s="106">
        <f t="shared" si="0"/>
        <v>2</v>
      </c>
      <c r="H20" s="116"/>
      <c r="I20" s="107" t="s">
        <v>119</v>
      </c>
      <c r="J20" s="107" t="s">
        <v>119</v>
      </c>
      <c r="K20" s="107" t="s">
        <v>119</v>
      </c>
      <c r="L20" s="107" t="s">
        <v>119</v>
      </c>
      <c r="M20" s="107" t="s">
        <v>119</v>
      </c>
      <c r="N20" s="107" t="s">
        <v>119</v>
      </c>
      <c r="O20" s="114" t="s">
        <v>72</v>
      </c>
      <c r="P20" s="114">
        <v>4</v>
      </c>
      <c r="Q20" s="107" t="s">
        <v>119</v>
      </c>
      <c r="R20" s="107" t="s">
        <v>119</v>
      </c>
      <c r="S20" s="115">
        <v>4</v>
      </c>
      <c r="T20" s="205">
        <v>25</v>
      </c>
    </row>
    <row r="21" spans="2:20" ht="17.25" x14ac:dyDescent="0.3">
      <c r="B21" s="122">
        <v>17</v>
      </c>
      <c r="C21" s="104" t="s">
        <v>77</v>
      </c>
      <c r="D21" s="89"/>
      <c r="E21" s="113">
        <v>4</v>
      </c>
      <c r="F21" s="105"/>
      <c r="G21" s="106">
        <f t="shared" si="0"/>
        <v>4</v>
      </c>
      <c r="H21" s="116">
        <v>3</v>
      </c>
      <c r="I21" s="107" t="s">
        <v>119</v>
      </c>
      <c r="J21" s="107" t="s">
        <v>119</v>
      </c>
      <c r="K21" s="107" t="s">
        <v>119</v>
      </c>
      <c r="L21" s="107" t="s">
        <v>119</v>
      </c>
      <c r="M21" s="114">
        <v>2</v>
      </c>
      <c r="N21" s="107" t="s">
        <v>119</v>
      </c>
      <c r="O21" s="107" t="s">
        <v>119</v>
      </c>
      <c r="P21" s="107" t="s">
        <v>119</v>
      </c>
      <c r="Q21" s="107" t="s">
        <v>119</v>
      </c>
      <c r="R21" s="114">
        <v>3</v>
      </c>
      <c r="S21" s="115">
        <v>16</v>
      </c>
      <c r="T21" s="205">
        <v>26</v>
      </c>
    </row>
    <row r="22" spans="2:20" ht="17.25" x14ac:dyDescent="0.3">
      <c r="B22" s="87">
        <v>18</v>
      </c>
      <c r="C22" s="104" t="s">
        <v>112</v>
      </c>
      <c r="D22" s="89"/>
      <c r="E22" s="113">
        <v>1.5</v>
      </c>
      <c r="F22" s="105"/>
      <c r="G22" s="106">
        <f t="shared" si="0"/>
        <v>1.5</v>
      </c>
      <c r="H22" s="116"/>
      <c r="I22" s="107" t="s">
        <v>119</v>
      </c>
      <c r="J22" s="107" t="s">
        <v>119</v>
      </c>
      <c r="K22" s="107" t="s">
        <v>119</v>
      </c>
      <c r="L22" s="107" t="s">
        <v>119</v>
      </c>
      <c r="M22" s="107" t="s">
        <v>119</v>
      </c>
      <c r="N22" s="107" t="s">
        <v>119</v>
      </c>
      <c r="O22" s="114" t="s">
        <v>72</v>
      </c>
      <c r="P22" s="114">
        <v>1</v>
      </c>
      <c r="Q22" s="107" t="s">
        <v>119</v>
      </c>
      <c r="R22" s="107" t="s">
        <v>119</v>
      </c>
      <c r="S22" s="115">
        <v>2</v>
      </c>
      <c r="T22" s="205">
        <v>4</v>
      </c>
    </row>
    <row r="23" spans="2:20" s="91" customFormat="1" ht="17.25" x14ac:dyDescent="0.3">
      <c r="B23" s="122">
        <v>19</v>
      </c>
      <c r="C23" s="208" t="s">
        <v>113</v>
      </c>
      <c r="D23" s="125"/>
      <c r="E23" s="209">
        <v>1.5</v>
      </c>
      <c r="F23" s="105"/>
      <c r="G23" s="126">
        <f t="shared" si="0"/>
        <v>1.5</v>
      </c>
      <c r="H23" s="211"/>
      <c r="I23" s="107" t="s">
        <v>119</v>
      </c>
      <c r="J23" s="107" t="s">
        <v>119</v>
      </c>
      <c r="K23" s="107" t="s">
        <v>119</v>
      </c>
      <c r="L23" s="107" t="s">
        <v>119</v>
      </c>
      <c r="M23" s="107" t="s">
        <v>119</v>
      </c>
      <c r="N23" s="107" t="s">
        <v>119</v>
      </c>
      <c r="O23" s="107" t="s">
        <v>119</v>
      </c>
      <c r="P23" s="107" t="s">
        <v>119</v>
      </c>
      <c r="Q23" s="107" t="s">
        <v>119</v>
      </c>
      <c r="R23" s="107" t="s">
        <v>119</v>
      </c>
      <c r="S23" s="212">
        <v>1</v>
      </c>
      <c r="T23" s="213"/>
    </row>
    <row r="24" spans="2:20" s="91" customFormat="1" ht="17.25" x14ac:dyDescent="0.3">
      <c r="B24" s="87">
        <v>20</v>
      </c>
      <c r="C24" s="214" t="s">
        <v>114</v>
      </c>
      <c r="D24" s="126"/>
      <c r="E24" s="118"/>
      <c r="F24" s="105"/>
      <c r="G24" s="126">
        <f t="shared" si="0"/>
        <v>0</v>
      </c>
      <c r="H24" s="127"/>
      <c r="I24" s="119">
        <v>14</v>
      </c>
      <c r="J24" s="107" t="s">
        <v>119</v>
      </c>
      <c r="K24" s="107" t="s">
        <v>119</v>
      </c>
      <c r="L24" s="119">
        <v>16</v>
      </c>
      <c r="M24" s="107" t="s">
        <v>119</v>
      </c>
      <c r="N24" s="119">
        <v>13</v>
      </c>
      <c r="O24" s="107" t="s">
        <v>28</v>
      </c>
      <c r="P24" s="119">
        <v>1</v>
      </c>
      <c r="Q24" s="107" t="s">
        <v>119</v>
      </c>
      <c r="R24" s="107" t="s">
        <v>119</v>
      </c>
      <c r="S24" s="205"/>
      <c r="T24" s="205"/>
    </row>
    <row r="25" spans="2:20" s="91" customFormat="1" ht="17.25" x14ac:dyDescent="0.3">
      <c r="B25" s="122">
        <v>21</v>
      </c>
      <c r="C25" s="214" t="s">
        <v>115</v>
      </c>
      <c r="D25" s="126"/>
      <c r="E25" s="118"/>
      <c r="F25" s="105"/>
      <c r="G25" s="126">
        <f t="shared" si="0"/>
        <v>0</v>
      </c>
      <c r="H25" s="127"/>
      <c r="I25" s="119">
        <v>21</v>
      </c>
      <c r="J25" s="119">
        <v>2</v>
      </c>
      <c r="K25" s="107" t="s">
        <v>119</v>
      </c>
      <c r="L25" s="119">
        <v>22</v>
      </c>
      <c r="M25" s="107" t="s">
        <v>119</v>
      </c>
      <c r="N25" s="107" t="s">
        <v>119</v>
      </c>
      <c r="O25" s="114" t="s">
        <v>81</v>
      </c>
      <c r="P25" s="119">
        <v>0</v>
      </c>
      <c r="Q25" s="107" t="s">
        <v>119</v>
      </c>
      <c r="R25" s="107" t="s">
        <v>119</v>
      </c>
      <c r="S25" s="205"/>
      <c r="T25" s="205"/>
    </row>
    <row r="26" spans="2:20" s="91" customFormat="1" ht="17.25" x14ac:dyDescent="0.3">
      <c r="B26" s="87">
        <v>22</v>
      </c>
      <c r="C26" s="214" t="s">
        <v>116</v>
      </c>
      <c r="D26" s="126"/>
      <c r="E26" s="118">
        <v>1</v>
      </c>
      <c r="F26" s="105"/>
      <c r="G26" s="126">
        <f t="shared" si="0"/>
        <v>1</v>
      </c>
      <c r="H26" s="127"/>
      <c r="I26" s="107" t="s">
        <v>119</v>
      </c>
      <c r="J26" s="107" t="s">
        <v>119</v>
      </c>
      <c r="K26" s="107" t="s">
        <v>119</v>
      </c>
      <c r="L26" s="107" t="s">
        <v>119</v>
      </c>
      <c r="M26" s="107" t="s">
        <v>119</v>
      </c>
      <c r="N26" s="107" t="s">
        <v>119</v>
      </c>
      <c r="O26" s="114" t="s">
        <v>72</v>
      </c>
      <c r="P26" s="107" t="s">
        <v>119</v>
      </c>
      <c r="Q26" s="107" t="s">
        <v>119</v>
      </c>
      <c r="R26" s="107" t="s">
        <v>119</v>
      </c>
      <c r="S26" s="205">
        <v>1</v>
      </c>
      <c r="T26" s="205">
        <v>1</v>
      </c>
    </row>
    <row r="27" spans="2:20" s="91" customFormat="1" ht="17.25" x14ac:dyDescent="0.3">
      <c r="B27" s="122">
        <v>23</v>
      </c>
      <c r="C27" s="214" t="s">
        <v>120</v>
      </c>
      <c r="D27" s="126"/>
      <c r="E27" s="118">
        <v>2</v>
      </c>
      <c r="F27" s="105"/>
      <c r="G27" s="126">
        <f t="shared" si="0"/>
        <v>2</v>
      </c>
      <c r="H27" s="127"/>
      <c r="I27" s="107" t="s">
        <v>119</v>
      </c>
      <c r="J27" s="107" t="s">
        <v>119</v>
      </c>
      <c r="K27" s="107" t="s">
        <v>119</v>
      </c>
      <c r="L27" s="107" t="s">
        <v>119</v>
      </c>
      <c r="M27" s="107" t="s">
        <v>119</v>
      </c>
      <c r="N27" s="107" t="s">
        <v>119</v>
      </c>
      <c r="O27" s="107" t="s">
        <v>119</v>
      </c>
      <c r="P27" s="107" t="s">
        <v>119</v>
      </c>
      <c r="Q27" s="107" t="s">
        <v>119</v>
      </c>
      <c r="R27" s="107" t="s">
        <v>119</v>
      </c>
      <c r="S27" s="120"/>
      <c r="T27" s="205"/>
    </row>
    <row r="28" spans="2:20" s="91" customFormat="1" ht="17.25" x14ac:dyDescent="0.3">
      <c r="B28" s="122">
        <v>24</v>
      </c>
      <c r="C28" s="214" t="s">
        <v>117</v>
      </c>
      <c r="D28" s="126"/>
      <c r="E28" s="118"/>
      <c r="F28" s="105"/>
      <c r="G28" s="126">
        <f t="shared" si="0"/>
        <v>0</v>
      </c>
      <c r="H28" s="127"/>
      <c r="I28" s="107" t="s">
        <v>119</v>
      </c>
      <c r="J28" s="107" t="s">
        <v>119</v>
      </c>
      <c r="K28" s="107" t="s">
        <v>119</v>
      </c>
      <c r="L28" s="107" t="s">
        <v>119</v>
      </c>
      <c r="M28" s="107" t="s">
        <v>119</v>
      </c>
      <c r="N28" s="107" t="s">
        <v>119</v>
      </c>
      <c r="O28" s="107" t="s">
        <v>119</v>
      </c>
      <c r="P28" s="119">
        <v>1</v>
      </c>
      <c r="Q28" s="107" t="s">
        <v>119</v>
      </c>
      <c r="R28" s="107" t="s">
        <v>119</v>
      </c>
      <c r="S28" s="120"/>
      <c r="T28" s="205">
        <v>2</v>
      </c>
    </row>
    <row r="29" spans="2:20" ht="15.75" thickBot="1" x14ac:dyDescent="0.25">
      <c r="B29" s="93"/>
      <c r="C29" s="94" t="s">
        <v>17</v>
      </c>
      <c r="D29" s="95">
        <f>SUM(D5:D23)</f>
        <v>0</v>
      </c>
      <c r="E29" s="121">
        <f>SUM(E5:E27)</f>
        <v>54</v>
      </c>
      <c r="F29" s="121">
        <f>SUM(F5:F26)</f>
        <v>2</v>
      </c>
      <c r="G29" s="121">
        <f t="shared" si="0"/>
        <v>56</v>
      </c>
      <c r="H29" s="121">
        <f t="shared" ref="H29:Q29" si="1">SUM(H5:H26)</f>
        <v>17</v>
      </c>
      <c r="I29" s="121">
        <f t="shared" si="1"/>
        <v>36</v>
      </c>
      <c r="J29" s="121">
        <f t="shared" si="1"/>
        <v>2</v>
      </c>
      <c r="K29" s="121">
        <f t="shared" si="1"/>
        <v>13</v>
      </c>
      <c r="L29" s="121">
        <f t="shared" si="1"/>
        <v>38</v>
      </c>
      <c r="M29" s="121">
        <f t="shared" si="1"/>
        <v>13</v>
      </c>
      <c r="N29" s="121">
        <f t="shared" si="1"/>
        <v>15</v>
      </c>
      <c r="O29" s="121">
        <f t="shared" si="1"/>
        <v>0</v>
      </c>
      <c r="P29" s="121">
        <f t="shared" si="1"/>
        <v>19.5</v>
      </c>
      <c r="Q29" s="121">
        <f t="shared" si="1"/>
        <v>4.5</v>
      </c>
      <c r="R29" s="121">
        <f>SUM(R5:R28)</f>
        <v>20</v>
      </c>
      <c r="S29" s="121">
        <f>SUM(S5:S28)</f>
        <v>181</v>
      </c>
      <c r="T29" s="121">
        <f>SUM(T5:T28)</f>
        <v>383</v>
      </c>
    </row>
    <row r="30" spans="2:20" ht="15" x14ac:dyDescent="0.2">
      <c r="B30" s="96"/>
      <c r="C30" s="96"/>
      <c r="D30" s="97"/>
      <c r="E30" s="98"/>
      <c r="F30" s="98"/>
      <c r="G30" s="98"/>
      <c r="H30" s="98"/>
      <c r="I30" s="96"/>
      <c r="J30" s="98"/>
      <c r="K30" s="98"/>
      <c r="L30" s="98"/>
      <c r="M30" s="98"/>
      <c r="N30" s="98"/>
      <c r="O30" s="98"/>
      <c r="P30" s="98"/>
      <c r="Q30" s="98"/>
      <c r="R30" s="98"/>
      <c r="S30" s="96"/>
      <c r="T30" s="96"/>
    </row>
    <row r="32" spans="2:20" ht="15" thickBot="1" x14ac:dyDescent="0.25">
      <c r="L32" s="91"/>
      <c r="M32" s="84"/>
      <c r="N32" s="84"/>
      <c r="O32" s="91"/>
      <c r="S32" s="100"/>
      <c r="T32" s="100"/>
    </row>
    <row r="33" spans="2:19" ht="15" thickBot="1" x14ac:dyDescent="0.25">
      <c r="B33" s="215" t="s">
        <v>100</v>
      </c>
      <c r="C33" s="215" t="s">
        <v>101</v>
      </c>
      <c r="D33" s="216" t="s">
        <v>102</v>
      </c>
      <c r="E33" s="217" t="s">
        <v>102</v>
      </c>
      <c r="I33" s="86"/>
      <c r="J33" s="91"/>
      <c r="K33" s="91"/>
      <c r="S33" s="86"/>
    </row>
    <row r="34" spans="2:19" ht="15" thickBot="1" x14ac:dyDescent="0.25">
      <c r="B34" s="218">
        <v>1</v>
      </c>
      <c r="C34" s="219" t="s">
        <v>63</v>
      </c>
      <c r="D34" s="91"/>
      <c r="E34" s="220">
        <v>728</v>
      </c>
      <c r="I34" s="86"/>
      <c r="J34" s="91"/>
      <c r="K34" s="91"/>
      <c r="S34" s="86"/>
    </row>
    <row r="35" spans="2:19" ht="15" thickBot="1" x14ac:dyDescent="0.25">
      <c r="B35" s="221"/>
      <c r="C35" s="222" t="s">
        <v>17</v>
      </c>
      <c r="D35" s="223"/>
      <c r="E35" s="224">
        <f>SUM($E34)</f>
        <v>728</v>
      </c>
      <c r="I35" s="86"/>
      <c r="J35" s="91"/>
      <c r="K35" s="91"/>
      <c r="S35" s="86"/>
    </row>
    <row r="36" spans="2:19" x14ac:dyDescent="0.2">
      <c r="D36" s="91"/>
      <c r="E36" s="99"/>
      <c r="I36" s="86"/>
      <c r="J36" s="91"/>
      <c r="K36" s="91"/>
      <c r="S36" s="86"/>
    </row>
  </sheetData>
  <mergeCells count="22">
    <mergeCell ref="E3:E4"/>
    <mergeCell ref="F3:F4"/>
    <mergeCell ref="G3:G4"/>
    <mergeCell ref="H3:H4"/>
    <mergeCell ref="M32:N32"/>
    <mergeCell ref="B34:B35"/>
    <mergeCell ref="N2:N4"/>
    <mergeCell ref="O2:O4"/>
    <mergeCell ref="P2:Q3"/>
    <mergeCell ref="R2:R4"/>
    <mergeCell ref="S2:S4"/>
    <mergeCell ref="T2:T4"/>
    <mergeCell ref="B1:T1"/>
    <mergeCell ref="B2:B4"/>
    <mergeCell ref="C2:C4"/>
    <mergeCell ref="D2:D4"/>
    <mergeCell ref="E2:H2"/>
    <mergeCell ref="I2:I4"/>
    <mergeCell ref="J2:J4"/>
    <mergeCell ref="K2:K4"/>
    <mergeCell ref="L2:L4"/>
    <mergeCell ref="M2:M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77A22-6F92-44D4-AE6C-DEE9AEB777B1}">
  <dimension ref="B1:T36"/>
  <sheetViews>
    <sheetView topLeftCell="A7" zoomScale="85" zoomScaleNormal="85" workbookViewId="0">
      <selection activeCell="J11" sqref="J11"/>
    </sheetView>
  </sheetViews>
  <sheetFormatPr defaultRowHeight="14.25" x14ac:dyDescent="0.2"/>
  <cols>
    <col min="1" max="1" width="9.140625" style="86"/>
    <col min="2" max="2" width="9.140625" style="91"/>
    <col min="3" max="3" width="20.42578125" style="91" customWidth="1"/>
    <col min="4" max="4" width="15.140625" style="99" hidden="1" customWidth="1"/>
    <col min="5" max="5" width="20.7109375" style="86" customWidth="1"/>
    <col min="6" max="6" width="11.85546875" style="86" customWidth="1"/>
    <col min="7" max="7" width="10.42578125" style="86" customWidth="1"/>
    <col min="8" max="8" width="13.42578125" style="86" customWidth="1"/>
    <col min="9" max="9" width="19.28515625" style="91" customWidth="1"/>
    <col min="10" max="10" width="19.28515625" style="86" customWidth="1"/>
    <col min="11" max="11" width="11.28515625" style="86" customWidth="1"/>
    <col min="12" max="12" width="7.28515625" style="86" customWidth="1"/>
    <col min="13" max="13" width="11.140625" style="86" customWidth="1"/>
    <col min="14" max="14" width="12.7109375" style="86" customWidth="1"/>
    <col min="15" max="15" width="16.140625" style="86" customWidth="1"/>
    <col min="16" max="17" width="8" style="86" customWidth="1"/>
    <col min="18" max="18" width="11" style="86" customWidth="1"/>
    <col min="19" max="19" width="16" style="91" customWidth="1"/>
    <col min="20" max="20" width="12.5703125" style="91" customWidth="1"/>
    <col min="21" max="16384" width="9.140625" style="86"/>
  </cols>
  <sheetData>
    <row r="1" spans="2:20" ht="24" thickBot="1" x14ac:dyDescent="0.4">
      <c r="B1" s="197" t="s">
        <v>118</v>
      </c>
      <c r="C1" s="198"/>
      <c r="D1" s="198"/>
      <c r="E1" s="198"/>
      <c r="F1" s="198"/>
      <c r="G1" s="198"/>
      <c r="H1" s="198"/>
      <c r="I1" s="198"/>
      <c r="J1" s="198"/>
      <c r="K1" s="198"/>
      <c r="L1" s="198"/>
      <c r="M1" s="198"/>
      <c r="N1" s="198"/>
      <c r="O1" s="198"/>
      <c r="P1" s="198"/>
      <c r="Q1" s="198"/>
      <c r="R1" s="198"/>
      <c r="S1" s="198"/>
      <c r="T1" s="198"/>
    </row>
    <row r="2" spans="2:20" ht="15" customHeight="1" thickBot="1" x14ac:dyDescent="0.25">
      <c r="B2" s="171" t="s">
        <v>1</v>
      </c>
      <c r="C2" s="174" t="s">
        <v>2</v>
      </c>
      <c r="D2" s="184" t="s">
        <v>66</v>
      </c>
      <c r="E2" s="168" t="s">
        <v>3</v>
      </c>
      <c r="F2" s="169"/>
      <c r="G2" s="169"/>
      <c r="H2" s="170"/>
      <c r="I2" s="165" t="s">
        <v>4</v>
      </c>
      <c r="J2" s="165" t="s">
        <v>5</v>
      </c>
      <c r="K2" s="165" t="s">
        <v>6</v>
      </c>
      <c r="L2" s="181" t="s">
        <v>7</v>
      </c>
      <c r="M2" s="165" t="s">
        <v>8</v>
      </c>
      <c r="N2" s="181" t="s">
        <v>9</v>
      </c>
      <c r="O2" s="165" t="s">
        <v>10</v>
      </c>
      <c r="P2" s="83" t="s">
        <v>11</v>
      </c>
      <c r="Q2" s="162"/>
      <c r="R2" s="162" t="s">
        <v>12</v>
      </c>
      <c r="S2" s="194" t="s">
        <v>13</v>
      </c>
      <c r="T2" s="199" t="s">
        <v>14</v>
      </c>
    </row>
    <row r="3" spans="2:20" ht="48" customHeight="1" thickBot="1" x14ac:dyDescent="0.25">
      <c r="B3" s="172"/>
      <c r="C3" s="175"/>
      <c r="D3" s="185"/>
      <c r="E3" s="177" t="s">
        <v>18</v>
      </c>
      <c r="F3" s="177" t="s">
        <v>68</v>
      </c>
      <c r="G3" s="179" t="s">
        <v>20</v>
      </c>
      <c r="H3" s="177" t="s">
        <v>21</v>
      </c>
      <c r="I3" s="166"/>
      <c r="J3" s="166"/>
      <c r="K3" s="166"/>
      <c r="L3" s="182"/>
      <c r="M3" s="166"/>
      <c r="N3" s="182"/>
      <c r="O3" s="166"/>
      <c r="P3" s="163"/>
      <c r="Q3" s="164"/>
      <c r="R3" s="164"/>
      <c r="S3" s="195"/>
      <c r="T3" s="200"/>
    </row>
    <row r="4" spans="2:20" ht="16.5" thickBot="1" x14ac:dyDescent="0.25">
      <c r="B4" s="173"/>
      <c r="C4" s="176"/>
      <c r="D4" s="186"/>
      <c r="E4" s="178"/>
      <c r="F4" s="178"/>
      <c r="G4" s="180"/>
      <c r="H4" s="178"/>
      <c r="I4" s="167"/>
      <c r="J4" s="167"/>
      <c r="K4" s="167"/>
      <c r="L4" s="183"/>
      <c r="M4" s="167"/>
      <c r="N4" s="183"/>
      <c r="O4" s="167"/>
      <c r="P4" s="124" t="s">
        <v>69</v>
      </c>
      <c r="Q4" s="123" t="s">
        <v>70</v>
      </c>
      <c r="R4" s="193"/>
      <c r="S4" s="196"/>
      <c r="T4" s="201"/>
    </row>
    <row r="5" spans="2:20" ht="22.5" customHeight="1" x14ac:dyDescent="0.2">
      <c r="B5" s="122">
        <v>1</v>
      </c>
      <c r="C5" s="102" t="s">
        <v>35</v>
      </c>
      <c r="D5" s="88"/>
      <c r="E5" s="105">
        <v>5</v>
      </c>
      <c r="F5" s="105"/>
      <c r="G5" s="106">
        <f>SUM($E5:$F5)</f>
        <v>5</v>
      </c>
      <c r="H5" s="105">
        <v>2</v>
      </c>
      <c r="I5" s="107">
        <v>0</v>
      </c>
      <c r="J5" s="107">
        <v>0</v>
      </c>
      <c r="K5" s="107">
        <v>0</v>
      </c>
      <c r="L5" s="107">
        <v>0</v>
      </c>
      <c r="M5" s="107">
        <v>4</v>
      </c>
      <c r="N5" s="107">
        <v>0</v>
      </c>
      <c r="O5" s="107"/>
      <c r="P5" s="107"/>
      <c r="Q5" s="107"/>
      <c r="R5" s="107">
        <v>1</v>
      </c>
      <c r="S5" s="108">
        <v>7</v>
      </c>
      <c r="T5" s="202">
        <v>17</v>
      </c>
    </row>
    <row r="6" spans="2:20" ht="17.25" x14ac:dyDescent="0.3">
      <c r="B6" s="122">
        <v>2</v>
      </c>
      <c r="C6" s="203" t="s">
        <v>104</v>
      </c>
      <c r="D6" s="89"/>
      <c r="E6" s="113">
        <v>1.5</v>
      </c>
      <c r="F6" s="105"/>
      <c r="G6" s="106">
        <f t="shared" ref="G6:G29" si="0">SUM($E6:$F6)</f>
        <v>1.5</v>
      </c>
      <c r="H6" s="204">
        <v>7</v>
      </c>
      <c r="I6" s="107">
        <v>0</v>
      </c>
      <c r="J6" s="107">
        <v>0</v>
      </c>
      <c r="K6" s="107">
        <v>0</v>
      </c>
      <c r="L6" s="107">
        <v>0</v>
      </c>
      <c r="M6" s="107">
        <v>5</v>
      </c>
      <c r="N6" s="107">
        <v>0</v>
      </c>
      <c r="O6" s="114"/>
      <c r="P6" s="114"/>
      <c r="Q6" s="107"/>
      <c r="R6" s="114">
        <v>1</v>
      </c>
      <c r="S6" s="115">
        <v>8</v>
      </c>
      <c r="T6" s="205">
        <v>30</v>
      </c>
    </row>
    <row r="7" spans="2:20" ht="17.25" x14ac:dyDescent="0.3">
      <c r="B7" s="122">
        <v>3</v>
      </c>
      <c r="C7" s="103" t="s">
        <v>105</v>
      </c>
      <c r="D7" s="89"/>
      <c r="E7" s="113">
        <v>2</v>
      </c>
      <c r="F7" s="105"/>
      <c r="G7" s="106">
        <f>SUM($E7:$F7)</f>
        <v>2</v>
      </c>
      <c r="H7" s="206">
        <v>1</v>
      </c>
      <c r="I7" s="107">
        <v>0</v>
      </c>
      <c r="J7" s="107">
        <v>0</v>
      </c>
      <c r="K7" s="107">
        <v>0</v>
      </c>
      <c r="L7" s="107">
        <v>0</v>
      </c>
      <c r="M7" s="107">
        <v>5</v>
      </c>
      <c r="N7" s="107">
        <v>0</v>
      </c>
      <c r="O7" s="114"/>
      <c r="P7" s="107"/>
      <c r="Q7" s="107"/>
      <c r="R7" s="114"/>
      <c r="S7" s="115">
        <v>15</v>
      </c>
      <c r="T7" s="205">
        <v>32</v>
      </c>
    </row>
    <row r="8" spans="2:20" ht="17.25" x14ac:dyDescent="0.3">
      <c r="B8" s="122">
        <v>4</v>
      </c>
      <c r="C8" s="103" t="s">
        <v>107</v>
      </c>
      <c r="D8" s="89"/>
      <c r="E8" s="113">
        <v>2.5</v>
      </c>
      <c r="F8" s="113">
        <v>0</v>
      </c>
      <c r="G8" s="106">
        <f>SUM($E8:$F8)</f>
        <v>2.5</v>
      </c>
      <c r="H8" s="206">
        <v>6</v>
      </c>
      <c r="I8" s="107">
        <v>0</v>
      </c>
      <c r="J8" s="107">
        <v>0</v>
      </c>
      <c r="K8" s="107">
        <v>0</v>
      </c>
      <c r="L8" s="107">
        <v>0</v>
      </c>
      <c r="M8" s="114">
        <v>7</v>
      </c>
      <c r="N8" s="107">
        <v>0</v>
      </c>
      <c r="O8" s="107" t="s">
        <v>121</v>
      </c>
      <c r="P8" s="107">
        <v>2</v>
      </c>
      <c r="Q8" s="107">
        <v>0</v>
      </c>
      <c r="R8" s="114">
        <v>1</v>
      </c>
      <c r="S8" s="115">
        <v>17</v>
      </c>
      <c r="T8" s="205">
        <v>37</v>
      </c>
    </row>
    <row r="9" spans="2:20" ht="17.25" x14ac:dyDescent="0.3">
      <c r="B9" s="122">
        <v>5</v>
      </c>
      <c r="C9" s="103" t="s">
        <v>55</v>
      </c>
      <c r="D9" s="89"/>
      <c r="E9" s="113">
        <v>3</v>
      </c>
      <c r="F9" s="113">
        <v>0</v>
      </c>
      <c r="G9" s="106">
        <f t="shared" si="0"/>
        <v>3</v>
      </c>
      <c r="H9" s="113">
        <v>0</v>
      </c>
      <c r="I9" s="107">
        <v>0</v>
      </c>
      <c r="J9" s="107">
        <v>0</v>
      </c>
      <c r="K9" s="107">
        <v>0</v>
      </c>
      <c r="L9" s="107">
        <v>0</v>
      </c>
      <c r="M9" s="107">
        <v>0</v>
      </c>
      <c r="N9" s="107">
        <v>0</v>
      </c>
      <c r="O9" s="107" t="s">
        <v>122</v>
      </c>
      <c r="P9" s="107">
        <v>2</v>
      </c>
      <c r="Q9" s="107">
        <v>0</v>
      </c>
      <c r="R9" s="114"/>
      <c r="S9" s="115">
        <v>11</v>
      </c>
      <c r="T9" s="205">
        <v>30</v>
      </c>
    </row>
    <row r="10" spans="2:20" ht="17.25" x14ac:dyDescent="0.3">
      <c r="B10" s="122">
        <v>6</v>
      </c>
      <c r="C10" s="103" t="s">
        <v>62</v>
      </c>
      <c r="D10" s="89"/>
      <c r="E10" s="113">
        <v>1</v>
      </c>
      <c r="F10" s="113">
        <v>0</v>
      </c>
      <c r="G10" s="106">
        <f t="shared" si="0"/>
        <v>1</v>
      </c>
      <c r="H10" s="113">
        <v>0</v>
      </c>
      <c r="I10" s="107">
        <v>0</v>
      </c>
      <c r="J10" s="107">
        <v>0</v>
      </c>
      <c r="K10" s="107">
        <v>0</v>
      </c>
      <c r="L10" s="107">
        <v>0</v>
      </c>
      <c r="M10" s="107">
        <v>0</v>
      </c>
      <c r="N10" s="107">
        <v>0</v>
      </c>
      <c r="O10" s="107" t="s">
        <v>123</v>
      </c>
      <c r="P10" s="114">
        <v>0</v>
      </c>
      <c r="Q10" s="107">
        <v>0</v>
      </c>
      <c r="R10" s="107"/>
      <c r="S10" s="115">
        <v>0</v>
      </c>
      <c r="T10" s="205"/>
    </row>
    <row r="11" spans="2:20" ht="17.25" x14ac:dyDescent="0.3">
      <c r="B11" s="122">
        <v>7</v>
      </c>
      <c r="C11" s="104" t="s">
        <v>99</v>
      </c>
      <c r="D11" s="89"/>
      <c r="E11" s="113">
        <v>1</v>
      </c>
      <c r="F11" s="113">
        <v>0</v>
      </c>
      <c r="G11" s="106">
        <f t="shared" si="0"/>
        <v>1</v>
      </c>
      <c r="H11" s="206">
        <v>4</v>
      </c>
      <c r="I11" s="107">
        <v>0</v>
      </c>
      <c r="J11" s="107">
        <v>0</v>
      </c>
      <c r="K11" s="107">
        <v>0</v>
      </c>
      <c r="L11" s="107">
        <v>0</v>
      </c>
      <c r="M11" s="114">
        <v>3</v>
      </c>
      <c r="N11" s="107">
        <v>0</v>
      </c>
      <c r="O11" s="107">
        <v>0</v>
      </c>
      <c r="P11" s="107">
        <v>0</v>
      </c>
      <c r="Q11" s="107">
        <v>0</v>
      </c>
      <c r="R11" s="107">
        <v>1</v>
      </c>
      <c r="S11" s="115">
        <v>8</v>
      </c>
      <c r="T11" s="205">
        <v>34</v>
      </c>
    </row>
    <row r="12" spans="2:20" ht="17.25" x14ac:dyDescent="0.3">
      <c r="B12" s="122">
        <v>8</v>
      </c>
      <c r="C12" s="104" t="s">
        <v>109</v>
      </c>
      <c r="D12" s="89"/>
      <c r="E12" s="113">
        <v>1</v>
      </c>
      <c r="F12" s="113">
        <v>0</v>
      </c>
      <c r="G12" s="106">
        <f t="shared" si="0"/>
        <v>1</v>
      </c>
      <c r="H12" s="113">
        <v>0</v>
      </c>
      <c r="I12" s="107">
        <v>0</v>
      </c>
      <c r="J12" s="107">
        <v>0</v>
      </c>
      <c r="K12" s="107">
        <v>0</v>
      </c>
      <c r="L12" s="107">
        <v>0</v>
      </c>
      <c r="M12" s="107">
        <v>0</v>
      </c>
      <c r="N12" s="107">
        <v>0</v>
      </c>
      <c r="O12" s="107">
        <v>0</v>
      </c>
      <c r="P12" s="107"/>
      <c r="Q12" s="107"/>
      <c r="R12" s="107"/>
      <c r="S12" s="115">
        <v>4</v>
      </c>
      <c r="T12" s="205">
        <v>4</v>
      </c>
    </row>
    <row r="13" spans="2:20" ht="17.25" x14ac:dyDescent="0.3">
      <c r="B13" s="122">
        <v>9</v>
      </c>
      <c r="C13" s="104" t="s">
        <v>57</v>
      </c>
      <c r="D13" s="89"/>
      <c r="E13" s="113">
        <v>0</v>
      </c>
      <c r="F13" s="113">
        <v>0</v>
      </c>
      <c r="G13" s="106">
        <f t="shared" si="0"/>
        <v>0</v>
      </c>
      <c r="H13" s="206">
        <v>2</v>
      </c>
      <c r="I13" s="107">
        <v>0</v>
      </c>
      <c r="J13" s="107">
        <v>0</v>
      </c>
      <c r="K13" s="107">
        <v>0</v>
      </c>
      <c r="L13" s="107">
        <v>0</v>
      </c>
      <c r="M13" s="107">
        <v>0</v>
      </c>
      <c r="N13" s="107">
        <v>0</v>
      </c>
      <c r="O13" s="107">
        <v>0</v>
      </c>
      <c r="P13" s="114"/>
      <c r="Q13" s="107"/>
      <c r="R13" s="114"/>
      <c r="S13" s="115">
        <v>3</v>
      </c>
      <c r="T13" s="205">
        <v>8</v>
      </c>
    </row>
    <row r="14" spans="2:20" ht="17.25" x14ac:dyDescent="0.3">
      <c r="B14" s="122">
        <v>10</v>
      </c>
      <c r="C14" s="103" t="s">
        <v>30</v>
      </c>
      <c r="D14" s="89"/>
      <c r="E14" s="113">
        <v>1</v>
      </c>
      <c r="F14" s="113">
        <v>0</v>
      </c>
      <c r="G14" s="106">
        <f t="shared" si="0"/>
        <v>1</v>
      </c>
      <c r="H14" s="206">
        <v>2</v>
      </c>
      <c r="I14" s="107">
        <v>0</v>
      </c>
      <c r="J14" s="107">
        <v>0</v>
      </c>
      <c r="K14" s="107">
        <v>0</v>
      </c>
      <c r="L14" s="107">
        <v>0</v>
      </c>
      <c r="M14" s="107">
        <v>3</v>
      </c>
      <c r="N14" s="107">
        <v>0</v>
      </c>
      <c r="O14" s="107" t="s">
        <v>124</v>
      </c>
      <c r="P14" s="114">
        <v>1</v>
      </c>
      <c r="Q14" s="114">
        <v>0</v>
      </c>
      <c r="R14" s="114"/>
      <c r="S14" s="115">
        <v>9</v>
      </c>
      <c r="T14" s="205">
        <v>44</v>
      </c>
    </row>
    <row r="15" spans="2:20" ht="17.25" x14ac:dyDescent="0.3">
      <c r="B15" s="122">
        <v>11</v>
      </c>
      <c r="C15" s="103" t="s">
        <v>61</v>
      </c>
      <c r="D15" s="89"/>
      <c r="E15" s="113">
        <v>3</v>
      </c>
      <c r="F15" s="113">
        <v>0</v>
      </c>
      <c r="G15" s="106">
        <f t="shared" si="0"/>
        <v>3</v>
      </c>
      <c r="H15" s="206">
        <v>2</v>
      </c>
      <c r="I15" s="107">
        <v>0</v>
      </c>
      <c r="J15" s="107">
        <v>0</v>
      </c>
      <c r="K15" s="107">
        <v>0</v>
      </c>
      <c r="L15" s="107">
        <v>0</v>
      </c>
      <c r="M15" s="107">
        <v>0</v>
      </c>
      <c r="N15" s="107">
        <v>0</v>
      </c>
      <c r="O15" s="107">
        <v>0</v>
      </c>
      <c r="P15" s="114">
        <v>0</v>
      </c>
      <c r="Q15" s="107">
        <v>0</v>
      </c>
      <c r="R15" s="107">
        <v>1</v>
      </c>
      <c r="S15" s="115">
        <v>3</v>
      </c>
      <c r="T15" s="205">
        <v>13</v>
      </c>
    </row>
    <row r="16" spans="2:20" ht="18.75" customHeight="1" x14ac:dyDescent="0.3">
      <c r="B16" s="122">
        <v>12</v>
      </c>
      <c r="C16" s="103" t="s">
        <v>63</v>
      </c>
      <c r="D16" s="89"/>
      <c r="E16" s="113">
        <v>1</v>
      </c>
      <c r="F16" s="113">
        <v>0</v>
      </c>
      <c r="G16" s="106">
        <f t="shared" si="0"/>
        <v>1</v>
      </c>
      <c r="H16" s="206">
        <v>1</v>
      </c>
      <c r="I16" s="107">
        <v>0</v>
      </c>
      <c r="J16" s="107">
        <v>0</v>
      </c>
      <c r="K16" s="107">
        <v>0</v>
      </c>
      <c r="L16" s="107">
        <v>0</v>
      </c>
      <c r="M16" s="107">
        <v>3</v>
      </c>
      <c r="N16" s="107">
        <v>0</v>
      </c>
      <c r="O16" s="107" t="s">
        <v>123</v>
      </c>
      <c r="P16" s="107">
        <v>2</v>
      </c>
      <c r="Q16" s="107">
        <v>0</v>
      </c>
      <c r="R16" s="107"/>
      <c r="S16" s="115">
        <v>8</v>
      </c>
      <c r="T16" s="205">
        <v>19</v>
      </c>
    </row>
    <row r="17" spans="2:20" ht="17.25" x14ac:dyDescent="0.3">
      <c r="B17" s="122">
        <v>13</v>
      </c>
      <c r="C17" s="103" t="s">
        <v>44</v>
      </c>
      <c r="D17" s="89"/>
      <c r="E17" s="113">
        <v>5</v>
      </c>
      <c r="F17" s="113">
        <v>0</v>
      </c>
      <c r="G17" s="106">
        <f t="shared" si="0"/>
        <v>5</v>
      </c>
      <c r="H17" s="116">
        <v>1</v>
      </c>
      <c r="I17" s="107">
        <v>0</v>
      </c>
      <c r="J17" s="107">
        <v>0</v>
      </c>
      <c r="K17" s="107">
        <v>0</v>
      </c>
      <c r="L17" s="107">
        <v>0</v>
      </c>
      <c r="M17" s="107">
        <v>4</v>
      </c>
      <c r="N17" s="107">
        <v>0</v>
      </c>
      <c r="O17" s="107" t="s">
        <v>122</v>
      </c>
      <c r="P17" s="114">
        <v>1.5</v>
      </c>
      <c r="Q17" s="107">
        <v>0</v>
      </c>
      <c r="R17" s="114"/>
      <c r="S17" s="115">
        <v>2</v>
      </c>
      <c r="T17" s="205">
        <v>30</v>
      </c>
    </row>
    <row r="18" spans="2:20" ht="17.25" x14ac:dyDescent="0.3">
      <c r="B18" s="122">
        <v>14</v>
      </c>
      <c r="C18" s="103" t="s">
        <v>125</v>
      </c>
      <c r="D18" s="89"/>
      <c r="E18" s="113">
        <v>0</v>
      </c>
      <c r="F18" s="113">
        <v>0</v>
      </c>
      <c r="G18" s="106">
        <f t="shared" si="0"/>
        <v>0</v>
      </c>
      <c r="H18" s="113">
        <v>0</v>
      </c>
      <c r="I18" s="107">
        <v>0</v>
      </c>
      <c r="J18" s="107">
        <v>0</v>
      </c>
      <c r="K18" s="107">
        <v>0</v>
      </c>
      <c r="L18" s="107">
        <v>0</v>
      </c>
      <c r="M18" s="107">
        <v>0</v>
      </c>
      <c r="N18" s="107">
        <v>0</v>
      </c>
      <c r="O18" s="107" t="s">
        <v>123</v>
      </c>
      <c r="P18" s="114">
        <v>0</v>
      </c>
      <c r="Q18" s="107">
        <v>0</v>
      </c>
      <c r="R18" s="226"/>
      <c r="S18" s="115">
        <v>3</v>
      </c>
      <c r="T18" s="205">
        <v>13</v>
      </c>
    </row>
    <row r="19" spans="2:20" ht="17.25" x14ac:dyDescent="0.3">
      <c r="B19" s="122">
        <v>15</v>
      </c>
      <c r="C19" s="103" t="s">
        <v>49</v>
      </c>
      <c r="D19" s="89"/>
      <c r="E19" s="113">
        <v>7</v>
      </c>
      <c r="F19" s="113">
        <v>0</v>
      </c>
      <c r="G19" s="106">
        <f t="shared" si="0"/>
        <v>7</v>
      </c>
      <c r="H19" s="116">
        <v>1</v>
      </c>
      <c r="I19" s="107">
        <v>0</v>
      </c>
      <c r="J19" s="107">
        <v>0</v>
      </c>
      <c r="K19" s="107">
        <v>0</v>
      </c>
      <c r="L19" s="107">
        <v>0</v>
      </c>
      <c r="M19" s="107">
        <v>0</v>
      </c>
      <c r="N19" s="107">
        <v>0</v>
      </c>
      <c r="O19" s="107" t="s">
        <v>122</v>
      </c>
      <c r="P19" s="114">
        <v>1.5</v>
      </c>
      <c r="Q19" s="107">
        <v>0</v>
      </c>
      <c r="R19" s="107"/>
      <c r="S19" s="115">
        <v>2</v>
      </c>
      <c r="T19" s="205">
        <v>18</v>
      </c>
    </row>
    <row r="20" spans="2:20" ht="17.25" x14ac:dyDescent="0.3">
      <c r="B20" s="122">
        <v>16</v>
      </c>
      <c r="C20" s="104" t="s">
        <v>126</v>
      </c>
      <c r="D20" s="89"/>
      <c r="E20" s="113">
        <v>0.5</v>
      </c>
      <c r="F20" s="113">
        <v>0</v>
      </c>
      <c r="G20" s="106">
        <f t="shared" si="0"/>
        <v>0.5</v>
      </c>
      <c r="H20" s="113">
        <v>0</v>
      </c>
      <c r="I20" s="107">
        <v>0</v>
      </c>
      <c r="J20" s="107">
        <v>0</v>
      </c>
      <c r="K20" s="107">
        <v>0</v>
      </c>
      <c r="L20" s="107">
        <v>0</v>
      </c>
      <c r="M20" s="107">
        <v>0</v>
      </c>
      <c r="N20" s="107">
        <v>0</v>
      </c>
      <c r="O20" s="107">
        <v>0</v>
      </c>
      <c r="P20" s="114">
        <v>2</v>
      </c>
      <c r="Q20" s="107">
        <v>0</v>
      </c>
      <c r="R20" s="107"/>
      <c r="S20" s="115">
        <v>0</v>
      </c>
      <c r="T20" s="205"/>
    </row>
    <row r="21" spans="2:20" ht="17.25" x14ac:dyDescent="0.3">
      <c r="B21" s="122">
        <v>17</v>
      </c>
      <c r="C21" s="104" t="s">
        <v>77</v>
      </c>
      <c r="D21" s="89"/>
      <c r="E21" s="113">
        <v>3</v>
      </c>
      <c r="F21" s="113">
        <v>0</v>
      </c>
      <c r="G21" s="106">
        <f t="shared" si="0"/>
        <v>3</v>
      </c>
      <c r="H21" s="116">
        <v>2</v>
      </c>
      <c r="I21" s="107">
        <v>0</v>
      </c>
      <c r="J21" s="107">
        <v>0</v>
      </c>
      <c r="K21" s="107">
        <v>0</v>
      </c>
      <c r="L21" s="107">
        <v>0</v>
      </c>
      <c r="M21" s="114">
        <v>8</v>
      </c>
      <c r="N21" s="107">
        <v>0</v>
      </c>
      <c r="O21" s="107">
        <v>0</v>
      </c>
      <c r="P21" s="107">
        <v>1</v>
      </c>
      <c r="Q21" s="107">
        <v>0</v>
      </c>
      <c r="R21" s="114">
        <v>1</v>
      </c>
      <c r="S21" s="115">
        <v>10</v>
      </c>
      <c r="T21" s="205">
        <v>36</v>
      </c>
    </row>
    <row r="22" spans="2:20" ht="17.25" x14ac:dyDescent="0.3">
      <c r="B22" s="122">
        <v>18</v>
      </c>
      <c r="C22" s="104" t="s">
        <v>112</v>
      </c>
      <c r="D22" s="89"/>
      <c r="E22" s="113">
        <v>1.5</v>
      </c>
      <c r="F22" s="113">
        <v>0</v>
      </c>
      <c r="G22" s="106">
        <f t="shared" si="0"/>
        <v>1.5</v>
      </c>
      <c r="H22" s="116">
        <v>2</v>
      </c>
      <c r="I22" s="107">
        <v>0</v>
      </c>
      <c r="J22" s="107">
        <v>0</v>
      </c>
      <c r="K22" s="107">
        <v>0</v>
      </c>
      <c r="L22" s="107">
        <v>0</v>
      </c>
      <c r="M22" s="107">
        <v>1</v>
      </c>
      <c r="N22" s="107">
        <v>0</v>
      </c>
      <c r="O22" s="107" t="s">
        <v>122</v>
      </c>
      <c r="P22" s="114">
        <v>0</v>
      </c>
      <c r="Q22" s="107">
        <v>0</v>
      </c>
      <c r="R22" s="107"/>
      <c r="S22" s="115">
        <v>2</v>
      </c>
      <c r="T22" s="205">
        <v>2</v>
      </c>
    </row>
    <row r="23" spans="2:20" s="91" customFormat="1" ht="17.25" x14ac:dyDescent="0.3">
      <c r="B23" s="122">
        <v>19</v>
      </c>
      <c r="C23" s="208" t="s">
        <v>113</v>
      </c>
      <c r="D23" s="125"/>
      <c r="E23" s="209">
        <v>1</v>
      </c>
      <c r="F23" s="113">
        <v>0</v>
      </c>
      <c r="G23" s="126">
        <f t="shared" si="0"/>
        <v>1</v>
      </c>
      <c r="H23" s="113">
        <v>0</v>
      </c>
      <c r="I23" s="107">
        <v>0</v>
      </c>
      <c r="J23" s="107">
        <v>0</v>
      </c>
      <c r="K23" s="107">
        <v>0</v>
      </c>
      <c r="L23" s="107">
        <v>0</v>
      </c>
      <c r="M23" s="107">
        <v>0</v>
      </c>
      <c r="N23" s="107">
        <v>0</v>
      </c>
      <c r="O23" s="107" t="s">
        <v>122</v>
      </c>
      <c r="P23" s="114">
        <v>0</v>
      </c>
      <c r="Q23" s="107">
        <v>0</v>
      </c>
      <c r="R23" s="107"/>
      <c r="S23" s="212">
        <v>1</v>
      </c>
      <c r="T23" s="213">
        <v>5</v>
      </c>
    </row>
    <row r="24" spans="2:20" s="91" customFormat="1" ht="17.25" x14ac:dyDescent="0.3">
      <c r="B24" s="122">
        <v>20</v>
      </c>
      <c r="C24" s="214" t="s">
        <v>114</v>
      </c>
      <c r="D24" s="126"/>
      <c r="E24" s="113">
        <v>0</v>
      </c>
      <c r="F24" s="113">
        <v>0</v>
      </c>
      <c r="G24" s="126">
        <f t="shared" si="0"/>
        <v>0</v>
      </c>
      <c r="H24" s="113">
        <v>0</v>
      </c>
      <c r="I24" s="107">
        <v>0</v>
      </c>
      <c r="J24" s="107">
        <v>0</v>
      </c>
      <c r="K24" s="107">
        <v>0</v>
      </c>
      <c r="L24" s="107">
        <v>0</v>
      </c>
      <c r="M24" s="107">
        <v>0</v>
      </c>
      <c r="N24" s="107">
        <v>0</v>
      </c>
      <c r="O24" s="107">
        <v>0</v>
      </c>
      <c r="P24" s="119"/>
      <c r="Q24" s="107"/>
      <c r="R24" s="107"/>
      <c r="S24" s="205">
        <v>4</v>
      </c>
      <c r="T24" s="205">
        <v>12</v>
      </c>
    </row>
    <row r="25" spans="2:20" s="91" customFormat="1" ht="17.25" x14ac:dyDescent="0.3">
      <c r="B25" s="122">
        <v>21</v>
      </c>
      <c r="C25" s="214" t="s">
        <v>115</v>
      </c>
      <c r="D25" s="126"/>
      <c r="E25" s="113">
        <v>0</v>
      </c>
      <c r="F25" s="113">
        <v>0</v>
      </c>
      <c r="G25" s="126">
        <f t="shared" si="0"/>
        <v>0</v>
      </c>
      <c r="H25" s="113">
        <v>0</v>
      </c>
      <c r="I25" s="107">
        <v>0</v>
      </c>
      <c r="J25" s="107">
        <v>0</v>
      </c>
      <c r="K25" s="107">
        <v>0</v>
      </c>
      <c r="L25" s="107">
        <v>0</v>
      </c>
      <c r="M25" s="107">
        <v>0</v>
      </c>
      <c r="N25" s="107">
        <v>0</v>
      </c>
      <c r="O25" s="107" t="s">
        <v>123</v>
      </c>
      <c r="P25" s="119">
        <v>1</v>
      </c>
      <c r="Q25" s="107">
        <v>0</v>
      </c>
      <c r="R25" s="107"/>
      <c r="S25" s="205">
        <v>1</v>
      </c>
      <c r="T25" s="205">
        <v>2</v>
      </c>
    </row>
    <row r="26" spans="2:20" s="91" customFormat="1" ht="17.25" hidden="1" x14ac:dyDescent="0.3">
      <c r="B26" s="122">
        <v>22</v>
      </c>
      <c r="C26" s="214" t="s">
        <v>116</v>
      </c>
      <c r="D26" s="126"/>
      <c r="E26" s="113">
        <v>0</v>
      </c>
      <c r="F26" s="113">
        <v>0</v>
      </c>
      <c r="G26" s="126">
        <f t="shared" si="0"/>
        <v>0</v>
      </c>
      <c r="H26" s="113">
        <v>0</v>
      </c>
      <c r="I26" s="107">
        <v>0</v>
      </c>
      <c r="J26" s="107">
        <v>0</v>
      </c>
      <c r="K26" s="107">
        <v>0</v>
      </c>
      <c r="L26" s="107">
        <v>0</v>
      </c>
      <c r="M26" s="107">
        <v>0</v>
      </c>
      <c r="N26" s="107">
        <v>0</v>
      </c>
      <c r="O26" s="107" t="s">
        <v>124</v>
      </c>
      <c r="P26" s="107">
        <v>2</v>
      </c>
      <c r="Q26" s="107">
        <v>0</v>
      </c>
      <c r="R26" s="107"/>
      <c r="S26" s="205"/>
      <c r="T26" s="205"/>
    </row>
    <row r="27" spans="2:20" s="91" customFormat="1" ht="17.25" x14ac:dyDescent="0.3">
      <c r="B27" s="122">
        <v>23</v>
      </c>
      <c r="C27" s="214" t="s">
        <v>120</v>
      </c>
      <c r="D27" s="126"/>
      <c r="E27" s="118">
        <v>5</v>
      </c>
      <c r="F27" s="113">
        <v>0</v>
      </c>
      <c r="G27" s="126">
        <f t="shared" si="0"/>
        <v>5</v>
      </c>
      <c r="H27" s="113">
        <v>0</v>
      </c>
      <c r="I27" s="107">
        <v>0</v>
      </c>
      <c r="J27" s="107">
        <v>0</v>
      </c>
      <c r="K27" s="107">
        <v>0</v>
      </c>
      <c r="L27" s="107">
        <v>0</v>
      </c>
      <c r="M27" s="107">
        <v>0</v>
      </c>
      <c r="N27" s="107">
        <v>0</v>
      </c>
      <c r="O27" s="107" t="s">
        <v>121</v>
      </c>
      <c r="P27" s="107">
        <v>0</v>
      </c>
      <c r="Q27" s="107">
        <v>0</v>
      </c>
      <c r="R27" s="107"/>
      <c r="S27" s="120">
        <v>1</v>
      </c>
      <c r="T27" s="205">
        <v>2</v>
      </c>
    </row>
    <row r="28" spans="2:20" s="91" customFormat="1" ht="17.25" x14ac:dyDescent="0.3">
      <c r="B28" s="122">
        <v>24</v>
      </c>
      <c r="C28" s="214" t="s">
        <v>117</v>
      </c>
      <c r="D28" s="126"/>
      <c r="E28" s="113">
        <v>0</v>
      </c>
      <c r="F28" s="113">
        <v>0</v>
      </c>
      <c r="G28" s="126">
        <f t="shared" si="0"/>
        <v>0</v>
      </c>
      <c r="H28" s="113">
        <v>0</v>
      </c>
      <c r="I28" s="107">
        <v>0</v>
      </c>
      <c r="J28" s="107">
        <v>0</v>
      </c>
      <c r="K28" s="107">
        <v>0</v>
      </c>
      <c r="L28" s="107">
        <v>0</v>
      </c>
      <c r="M28" s="107">
        <v>0</v>
      </c>
      <c r="N28" s="107">
        <v>0</v>
      </c>
      <c r="O28" s="107">
        <v>0</v>
      </c>
      <c r="P28" s="119">
        <v>1</v>
      </c>
      <c r="Q28" s="107">
        <v>0</v>
      </c>
      <c r="R28" s="107"/>
      <c r="S28" s="120">
        <v>1</v>
      </c>
      <c r="T28" s="205">
        <v>2</v>
      </c>
    </row>
    <row r="29" spans="2:20" ht="15.75" thickBot="1" x14ac:dyDescent="0.25">
      <c r="B29" s="93"/>
      <c r="C29" s="94" t="s">
        <v>17</v>
      </c>
      <c r="D29" s="95">
        <f>SUM(D5:D23)</f>
        <v>0</v>
      </c>
      <c r="E29" s="121">
        <f>SUM(E5:E27)</f>
        <v>45</v>
      </c>
      <c r="F29" s="121">
        <f>SUM(F5:F26)</f>
        <v>0</v>
      </c>
      <c r="G29" s="121">
        <f t="shared" si="0"/>
        <v>45</v>
      </c>
      <c r="H29" s="121">
        <f t="shared" ref="H29:Q29" si="1">SUM(H5:H26)</f>
        <v>33</v>
      </c>
      <c r="I29" s="121">
        <f t="shared" si="1"/>
        <v>0</v>
      </c>
      <c r="J29" s="121">
        <f t="shared" si="1"/>
        <v>0</v>
      </c>
      <c r="K29" s="121">
        <f t="shared" si="1"/>
        <v>0</v>
      </c>
      <c r="L29" s="121">
        <f t="shared" si="1"/>
        <v>0</v>
      </c>
      <c r="M29" s="121">
        <f t="shared" si="1"/>
        <v>43</v>
      </c>
      <c r="N29" s="121">
        <f t="shared" si="1"/>
        <v>0</v>
      </c>
      <c r="O29" s="121">
        <f t="shared" si="1"/>
        <v>0</v>
      </c>
      <c r="P29" s="121">
        <f t="shared" si="1"/>
        <v>16</v>
      </c>
      <c r="Q29" s="121">
        <f t="shared" si="1"/>
        <v>0</v>
      </c>
      <c r="R29" s="121">
        <f>SUM(R5:R28)</f>
        <v>6</v>
      </c>
      <c r="S29" s="121">
        <f>SUM(S5:S28)</f>
        <v>120</v>
      </c>
      <c r="T29" s="121">
        <f>SUM(T5:T28)</f>
        <v>390</v>
      </c>
    </row>
    <row r="30" spans="2:20" ht="15" x14ac:dyDescent="0.2">
      <c r="B30" s="96"/>
      <c r="C30" s="96"/>
      <c r="D30" s="97"/>
      <c r="E30" s="98"/>
      <c r="F30" s="98"/>
      <c r="G30" s="98"/>
      <c r="H30" s="98"/>
      <c r="I30" s="96"/>
      <c r="J30" s="98"/>
      <c r="K30" s="98"/>
      <c r="L30" s="98"/>
      <c r="M30" s="98"/>
      <c r="N30" s="98"/>
      <c r="O30" s="98"/>
      <c r="P30" s="98"/>
      <c r="Q30" s="98"/>
      <c r="R30" s="98"/>
      <c r="S30" s="96"/>
      <c r="T30" s="96"/>
    </row>
    <row r="32" spans="2:20" ht="15" thickBot="1" x14ac:dyDescent="0.25">
      <c r="L32" s="91"/>
      <c r="M32" s="84"/>
      <c r="N32" s="84"/>
      <c r="O32" s="91"/>
      <c r="S32" s="100"/>
      <c r="T32" s="100"/>
    </row>
    <row r="33" spans="2:19" ht="15" thickBot="1" x14ac:dyDescent="0.25">
      <c r="B33" s="215" t="s">
        <v>100</v>
      </c>
      <c r="C33" s="215" t="s">
        <v>101</v>
      </c>
      <c r="D33" s="216" t="s">
        <v>102</v>
      </c>
      <c r="E33" s="217" t="s">
        <v>102</v>
      </c>
      <c r="I33" s="86"/>
      <c r="J33" s="91"/>
      <c r="K33" s="91"/>
      <c r="S33" s="86"/>
    </row>
    <row r="34" spans="2:19" ht="15" thickBot="1" x14ac:dyDescent="0.25">
      <c r="B34" s="218">
        <v>1</v>
      </c>
      <c r="C34" s="219" t="s">
        <v>63</v>
      </c>
      <c r="D34" s="91"/>
      <c r="E34" s="220">
        <v>742</v>
      </c>
      <c r="I34" s="86"/>
      <c r="J34" s="91"/>
      <c r="K34" s="91"/>
      <c r="S34" s="86"/>
    </row>
    <row r="35" spans="2:19" ht="15" thickBot="1" x14ac:dyDescent="0.25">
      <c r="B35" s="221"/>
      <c r="C35" s="222" t="s">
        <v>17</v>
      </c>
      <c r="D35" s="223"/>
      <c r="E35" s="224">
        <f>SUM($E34)</f>
        <v>742</v>
      </c>
      <c r="I35" s="86"/>
      <c r="J35" s="91"/>
      <c r="K35" s="91"/>
      <c r="S35" s="86"/>
    </row>
    <row r="36" spans="2:19" x14ac:dyDescent="0.2">
      <c r="D36" s="91"/>
      <c r="E36" s="99"/>
      <c r="I36" s="86"/>
      <c r="J36" s="91"/>
      <c r="K36" s="91"/>
      <c r="S36" s="86"/>
    </row>
  </sheetData>
  <mergeCells count="22">
    <mergeCell ref="E3:E4"/>
    <mergeCell ref="F3:F4"/>
    <mergeCell ref="G3:G4"/>
    <mergeCell ref="H3:H4"/>
    <mergeCell ref="M32:N32"/>
    <mergeCell ref="B34:B35"/>
    <mergeCell ref="N2:N4"/>
    <mergeCell ref="O2:O4"/>
    <mergeCell ref="P2:Q3"/>
    <mergeCell ref="R2:R4"/>
    <mergeCell ref="S2:S4"/>
    <mergeCell ref="T2:T4"/>
    <mergeCell ref="B1:T1"/>
    <mergeCell ref="B2:B4"/>
    <mergeCell ref="C2:C4"/>
    <mergeCell ref="D2:D4"/>
    <mergeCell ref="E2:H2"/>
    <mergeCell ref="I2:I4"/>
    <mergeCell ref="J2:J4"/>
    <mergeCell ref="K2:K4"/>
    <mergeCell ref="L2:L4"/>
    <mergeCell ref="M2:M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78CD9-F8C6-4BBE-B8D5-0B4A7ABE17A3}">
  <dimension ref="B1:T35"/>
  <sheetViews>
    <sheetView zoomScale="85" zoomScaleNormal="85" workbookViewId="0">
      <selection sqref="A1:XFD1048576"/>
    </sheetView>
  </sheetViews>
  <sheetFormatPr defaultRowHeight="14.25" x14ac:dyDescent="0.2"/>
  <cols>
    <col min="1" max="1" width="9.140625" style="86"/>
    <col min="2" max="2" width="9.140625" style="91"/>
    <col min="3" max="3" width="20.42578125" style="91" customWidth="1"/>
    <col min="4" max="4" width="15.140625" style="99" hidden="1" customWidth="1"/>
    <col min="5" max="5" width="20.7109375" style="86" customWidth="1"/>
    <col min="6" max="6" width="11.85546875" style="86" customWidth="1"/>
    <col min="7" max="7" width="10.42578125" style="86" customWidth="1"/>
    <col min="8" max="8" width="13.42578125" style="86" customWidth="1"/>
    <col min="9" max="9" width="19.28515625" style="91" customWidth="1"/>
    <col min="10" max="10" width="19.28515625" style="86" customWidth="1"/>
    <col min="11" max="11" width="11.28515625" style="86" customWidth="1"/>
    <col min="12" max="12" width="7.28515625" style="86" customWidth="1"/>
    <col min="13" max="13" width="11.140625" style="86" customWidth="1"/>
    <col min="14" max="14" width="12.7109375" style="86" customWidth="1"/>
    <col min="15" max="15" width="16.140625" style="86" customWidth="1"/>
    <col min="16" max="17" width="8" style="86" customWidth="1"/>
    <col min="18" max="18" width="11" style="86" customWidth="1"/>
    <col min="19" max="19" width="16" style="91" customWidth="1"/>
    <col min="20" max="20" width="12.5703125" style="91" customWidth="1"/>
    <col min="21" max="16384" width="9.140625" style="86"/>
  </cols>
  <sheetData>
    <row r="1" spans="2:20" ht="24" thickBot="1" x14ac:dyDescent="0.4">
      <c r="B1" s="197" t="s">
        <v>127</v>
      </c>
      <c r="C1" s="198"/>
      <c r="D1" s="198"/>
      <c r="E1" s="198"/>
      <c r="F1" s="198"/>
      <c r="G1" s="198"/>
      <c r="H1" s="198"/>
      <c r="I1" s="198"/>
      <c r="J1" s="198"/>
      <c r="K1" s="198"/>
      <c r="L1" s="198"/>
      <c r="M1" s="198"/>
      <c r="N1" s="198"/>
      <c r="O1" s="198"/>
      <c r="P1" s="198"/>
      <c r="Q1" s="198"/>
      <c r="R1" s="198"/>
      <c r="S1" s="198"/>
      <c r="T1" s="198"/>
    </row>
    <row r="2" spans="2:20" ht="15" customHeight="1" thickBot="1" x14ac:dyDescent="0.25">
      <c r="B2" s="171" t="s">
        <v>1</v>
      </c>
      <c r="C2" s="174" t="s">
        <v>2</v>
      </c>
      <c r="D2" s="184" t="s">
        <v>66</v>
      </c>
      <c r="E2" s="168" t="s">
        <v>3</v>
      </c>
      <c r="F2" s="169"/>
      <c r="G2" s="169"/>
      <c r="H2" s="170"/>
      <c r="I2" s="165" t="s">
        <v>4</v>
      </c>
      <c r="J2" s="165" t="s">
        <v>5</v>
      </c>
      <c r="K2" s="165" t="s">
        <v>6</v>
      </c>
      <c r="L2" s="181" t="s">
        <v>7</v>
      </c>
      <c r="M2" s="165" t="s">
        <v>8</v>
      </c>
      <c r="N2" s="181" t="s">
        <v>9</v>
      </c>
      <c r="O2" s="165" t="s">
        <v>10</v>
      </c>
      <c r="P2" s="83" t="s">
        <v>11</v>
      </c>
      <c r="Q2" s="162"/>
      <c r="R2" s="162" t="s">
        <v>12</v>
      </c>
      <c r="S2" s="194" t="s">
        <v>13</v>
      </c>
      <c r="T2" s="199" t="s">
        <v>14</v>
      </c>
    </row>
    <row r="3" spans="2:20" ht="48" customHeight="1" thickBot="1" x14ac:dyDescent="0.25">
      <c r="B3" s="172"/>
      <c r="C3" s="175"/>
      <c r="D3" s="185"/>
      <c r="E3" s="177" t="s">
        <v>18</v>
      </c>
      <c r="F3" s="177" t="s">
        <v>68</v>
      </c>
      <c r="G3" s="179" t="s">
        <v>20</v>
      </c>
      <c r="H3" s="177" t="s">
        <v>21</v>
      </c>
      <c r="I3" s="166"/>
      <c r="J3" s="166"/>
      <c r="K3" s="166"/>
      <c r="L3" s="182"/>
      <c r="M3" s="166"/>
      <c r="N3" s="182"/>
      <c r="O3" s="166"/>
      <c r="P3" s="163"/>
      <c r="Q3" s="164"/>
      <c r="R3" s="164"/>
      <c r="S3" s="195"/>
      <c r="T3" s="200"/>
    </row>
    <row r="4" spans="2:20" ht="16.5" thickBot="1" x14ac:dyDescent="0.25">
      <c r="B4" s="173"/>
      <c r="C4" s="176"/>
      <c r="D4" s="186"/>
      <c r="E4" s="178"/>
      <c r="F4" s="178"/>
      <c r="G4" s="180"/>
      <c r="H4" s="178"/>
      <c r="I4" s="167"/>
      <c r="J4" s="167"/>
      <c r="K4" s="167"/>
      <c r="L4" s="183"/>
      <c r="M4" s="167"/>
      <c r="N4" s="183"/>
      <c r="O4" s="167"/>
      <c r="P4" s="124" t="s">
        <v>69</v>
      </c>
      <c r="Q4" s="123" t="s">
        <v>70</v>
      </c>
      <c r="R4" s="193"/>
      <c r="S4" s="196"/>
      <c r="T4" s="201"/>
    </row>
    <row r="5" spans="2:20" ht="22.5" customHeight="1" x14ac:dyDescent="0.2">
      <c r="B5" s="122">
        <v>1</v>
      </c>
      <c r="C5" s="102" t="s">
        <v>35</v>
      </c>
      <c r="D5" s="88"/>
      <c r="E5" s="105">
        <v>4</v>
      </c>
      <c r="F5" s="105">
        <v>0</v>
      </c>
      <c r="G5" s="106">
        <f>SUM($E5:$F5)</f>
        <v>4</v>
      </c>
      <c r="H5" s="105">
        <v>2</v>
      </c>
      <c r="I5" s="107">
        <v>0</v>
      </c>
      <c r="J5" s="107">
        <v>0</v>
      </c>
      <c r="K5" s="107">
        <v>0</v>
      </c>
      <c r="L5" s="107">
        <v>0</v>
      </c>
      <c r="M5" s="107">
        <v>2</v>
      </c>
      <c r="N5" s="107">
        <v>0</v>
      </c>
      <c r="O5" s="107">
        <v>0</v>
      </c>
      <c r="P5" s="107">
        <v>0</v>
      </c>
      <c r="Q5" s="107">
        <v>0</v>
      </c>
      <c r="R5" s="107">
        <v>1</v>
      </c>
      <c r="S5" s="108">
        <v>7</v>
      </c>
      <c r="T5" s="202">
        <v>26</v>
      </c>
    </row>
    <row r="6" spans="2:20" ht="17.25" x14ac:dyDescent="0.3">
      <c r="B6" s="122">
        <v>2</v>
      </c>
      <c r="C6" s="203" t="s">
        <v>104</v>
      </c>
      <c r="D6" s="89"/>
      <c r="E6" s="113">
        <v>7</v>
      </c>
      <c r="F6" s="105">
        <v>0</v>
      </c>
      <c r="G6" s="106">
        <f t="shared" ref="G6:G29" si="0">SUM($E6:$F6)</f>
        <v>7</v>
      </c>
      <c r="H6" s="204">
        <v>7</v>
      </c>
      <c r="I6" s="107">
        <v>0</v>
      </c>
      <c r="J6" s="107">
        <v>0</v>
      </c>
      <c r="K6" s="107">
        <v>0</v>
      </c>
      <c r="L6" s="107">
        <v>0</v>
      </c>
      <c r="M6" s="107">
        <v>2</v>
      </c>
      <c r="N6" s="107">
        <v>0</v>
      </c>
      <c r="O6" s="107">
        <v>0</v>
      </c>
      <c r="P6" s="107">
        <v>0</v>
      </c>
      <c r="Q6" s="107">
        <v>0</v>
      </c>
      <c r="R6" s="114">
        <v>5</v>
      </c>
      <c r="S6" s="115">
        <v>17</v>
      </c>
      <c r="T6" s="205">
        <v>27</v>
      </c>
    </row>
    <row r="7" spans="2:20" ht="17.25" x14ac:dyDescent="0.3">
      <c r="B7" s="122">
        <v>3</v>
      </c>
      <c r="C7" s="103" t="s">
        <v>105</v>
      </c>
      <c r="D7" s="89"/>
      <c r="E7" s="113">
        <v>5.5</v>
      </c>
      <c r="F7" s="105">
        <v>0</v>
      </c>
      <c r="G7" s="106">
        <f t="shared" si="0"/>
        <v>5.5</v>
      </c>
      <c r="H7" s="105">
        <v>0</v>
      </c>
      <c r="I7" s="107">
        <v>0</v>
      </c>
      <c r="J7" s="107">
        <v>0</v>
      </c>
      <c r="K7" s="107">
        <v>0</v>
      </c>
      <c r="L7" s="107">
        <v>0</v>
      </c>
      <c r="M7" s="107">
        <v>4</v>
      </c>
      <c r="N7" s="107">
        <v>0</v>
      </c>
      <c r="O7" s="107" t="s">
        <v>72</v>
      </c>
      <c r="P7" s="107">
        <v>2</v>
      </c>
      <c r="Q7" s="107">
        <v>0</v>
      </c>
      <c r="R7" s="114">
        <v>6</v>
      </c>
      <c r="S7" s="115">
        <v>26</v>
      </c>
      <c r="T7" s="205">
        <v>45</v>
      </c>
    </row>
    <row r="8" spans="2:20" ht="17.25" x14ac:dyDescent="0.3">
      <c r="B8" s="122">
        <v>4</v>
      </c>
      <c r="C8" s="103" t="s">
        <v>107</v>
      </c>
      <c r="D8" s="89"/>
      <c r="E8" s="113">
        <v>3</v>
      </c>
      <c r="F8" s="105">
        <v>0</v>
      </c>
      <c r="G8" s="106">
        <f t="shared" si="0"/>
        <v>3</v>
      </c>
      <c r="H8" s="206">
        <v>4</v>
      </c>
      <c r="I8" s="107">
        <v>0</v>
      </c>
      <c r="J8" s="107">
        <v>0</v>
      </c>
      <c r="K8" s="107">
        <v>0</v>
      </c>
      <c r="L8" s="107">
        <v>0</v>
      </c>
      <c r="M8" s="114">
        <v>5</v>
      </c>
      <c r="N8" s="107">
        <v>0</v>
      </c>
      <c r="O8" s="107" t="s">
        <v>72</v>
      </c>
      <c r="P8" s="107">
        <v>0</v>
      </c>
      <c r="Q8" s="107">
        <v>0</v>
      </c>
      <c r="R8" s="114">
        <v>8</v>
      </c>
      <c r="S8" s="115">
        <v>28</v>
      </c>
      <c r="T8" s="205">
        <v>29</v>
      </c>
    </row>
    <row r="9" spans="2:20" ht="17.25" x14ac:dyDescent="0.3">
      <c r="B9" s="122">
        <v>5</v>
      </c>
      <c r="C9" s="103" t="s">
        <v>55</v>
      </c>
      <c r="D9" s="89"/>
      <c r="E9" s="105">
        <v>0</v>
      </c>
      <c r="F9" s="105">
        <v>0</v>
      </c>
      <c r="G9" s="106">
        <f t="shared" si="0"/>
        <v>0</v>
      </c>
      <c r="H9" s="105">
        <v>0</v>
      </c>
      <c r="I9" s="107">
        <v>0</v>
      </c>
      <c r="J9" s="107">
        <v>0</v>
      </c>
      <c r="K9" s="107">
        <v>0</v>
      </c>
      <c r="L9" s="107">
        <v>0</v>
      </c>
      <c r="M9" s="107">
        <v>0</v>
      </c>
      <c r="N9" s="107">
        <v>0</v>
      </c>
      <c r="O9" s="107">
        <v>0</v>
      </c>
      <c r="P9" s="107">
        <v>0</v>
      </c>
      <c r="Q9" s="107">
        <v>0</v>
      </c>
      <c r="R9" s="114">
        <v>4</v>
      </c>
      <c r="S9" s="115">
        <v>20</v>
      </c>
      <c r="T9" s="205">
        <v>34</v>
      </c>
    </row>
    <row r="10" spans="2:20" ht="17.25" x14ac:dyDescent="0.3">
      <c r="B10" s="122">
        <v>6</v>
      </c>
      <c r="C10" s="103" t="s">
        <v>62</v>
      </c>
      <c r="D10" s="89"/>
      <c r="E10" s="105">
        <v>0</v>
      </c>
      <c r="F10" s="105">
        <v>0</v>
      </c>
      <c r="G10" s="106">
        <f t="shared" si="0"/>
        <v>0</v>
      </c>
      <c r="H10" s="105">
        <v>0</v>
      </c>
      <c r="I10" s="107">
        <v>0</v>
      </c>
      <c r="J10" s="107">
        <v>0</v>
      </c>
      <c r="K10" s="107">
        <v>0</v>
      </c>
      <c r="L10" s="107">
        <v>0</v>
      </c>
      <c r="M10" s="107">
        <v>0</v>
      </c>
      <c r="N10" s="107">
        <v>0</v>
      </c>
      <c r="O10" s="107">
        <v>0</v>
      </c>
      <c r="P10" s="107">
        <v>0</v>
      </c>
      <c r="Q10" s="107">
        <v>0</v>
      </c>
      <c r="R10" s="107">
        <v>0</v>
      </c>
      <c r="S10" s="115">
        <v>0</v>
      </c>
      <c r="T10" s="205">
        <v>0</v>
      </c>
    </row>
    <row r="11" spans="2:20" ht="17.25" x14ac:dyDescent="0.3">
      <c r="B11" s="122">
        <v>7</v>
      </c>
      <c r="C11" s="104" t="s">
        <v>99</v>
      </c>
      <c r="D11" s="89"/>
      <c r="E11" s="113">
        <v>2</v>
      </c>
      <c r="F11" s="105">
        <v>0</v>
      </c>
      <c r="G11" s="106">
        <f t="shared" si="0"/>
        <v>2</v>
      </c>
      <c r="H11" s="206">
        <v>5</v>
      </c>
      <c r="I11" s="107">
        <v>0</v>
      </c>
      <c r="J11" s="107">
        <v>0</v>
      </c>
      <c r="K11" s="107">
        <v>0</v>
      </c>
      <c r="L11" s="107">
        <v>0</v>
      </c>
      <c r="M11" s="114">
        <v>3</v>
      </c>
      <c r="N11" s="107">
        <v>0</v>
      </c>
      <c r="O11" s="107">
        <v>0</v>
      </c>
      <c r="P11" s="107">
        <v>0</v>
      </c>
      <c r="Q11" s="107">
        <v>0</v>
      </c>
      <c r="R11" s="107">
        <v>8</v>
      </c>
      <c r="S11" s="115">
        <v>28</v>
      </c>
      <c r="T11" s="205">
        <v>36</v>
      </c>
    </row>
    <row r="12" spans="2:20" ht="17.25" x14ac:dyDescent="0.3">
      <c r="B12" s="122">
        <v>8</v>
      </c>
      <c r="C12" s="104" t="s">
        <v>128</v>
      </c>
      <c r="D12" s="89"/>
      <c r="E12" s="113">
        <v>1</v>
      </c>
      <c r="F12" s="105">
        <v>0</v>
      </c>
      <c r="G12" s="106">
        <f t="shared" si="0"/>
        <v>1</v>
      </c>
      <c r="H12" s="113">
        <v>1</v>
      </c>
      <c r="I12" s="107">
        <v>0</v>
      </c>
      <c r="J12" s="107">
        <v>0</v>
      </c>
      <c r="K12" s="107">
        <v>0</v>
      </c>
      <c r="L12" s="107">
        <v>0</v>
      </c>
      <c r="M12" s="107">
        <v>1</v>
      </c>
      <c r="N12" s="107">
        <v>0</v>
      </c>
      <c r="O12" s="107">
        <v>0</v>
      </c>
      <c r="P12" s="107">
        <v>0</v>
      </c>
      <c r="Q12" s="107">
        <v>0</v>
      </c>
      <c r="R12" s="107">
        <v>0</v>
      </c>
      <c r="S12" s="115">
        <v>0</v>
      </c>
      <c r="T12" s="205">
        <v>2</v>
      </c>
    </row>
    <row r="13" spans="2:20" ht="17.25" x14ac:dyDescent="0.3">
      <c r="B13" s="122">
        <v>9</v>
      </c>
      <c r="C13" s="104" t="s">
        <v>129</v>
      </c>
      <c r="D13" s="89"/>
      <c r="E13" s="113">
        <v>0.5</v>
      </c>
      <c r="F13" s="105">
        <v>0</v>
      </c>
      <c r="G13" s="106">
        <f t="shared" si="0"/>
        <v>0.5</v>
      </c>
      <c r="H13" s="105">
        <v>0</v>
      </c>
      <c r="I13" s="107">
        <v>0</v>
      </c>
      <c r="J13" s="107">
        <v>0</v>
      </c>
      <c r="K13" s="107">
        <v>0</v>
      </c>
      <c r="L13" s="107">
        <v>0</v>
      </c>
      <c r="M13" s="107">
        <v>0</v>
      </c>
      <c r="N13" s="107">
        <v>0</v>
      </c>
      <c r="O13" s="107">
        <v>0</v>
      </c>
      <c r="P13" s="107">
        <v>0</v>
      </c>
      <c r="Q13" s="107">
        <v>0</v>
      </c>
      <c r="R13" s="107">
        <v>9</v>
      </c>
      <c r="S13" s="115">
        <v>13</v>
      </c>
      <c r="T13" s="205">
        <v>10</v>
      </c>
    </row>
    <row r="14" spans="2:20" ht="17.25" x14ac:dyDescent="0.3">
      <c r="B14" s="122">
        <v>10</v>
      </c>
      <c r="C14" s="104" t="s">
        <v>130</v>
      </c>
      <c r="D14" s="89"/>
      <c r="E14" s="113">
        <v>0.5</v>
      </c>
      <c r="F14" s="105">
        <v>0</v>
      </c>
      <c r="G14" s="106">
        <f t="shared" si="0"/>
        <v>0.5</v>
      </c>
      <c r="H14" s="105">
        <v>0</v>
      </c>
      <c r="I14" s="107">
        <v>0</v>
      </c>
      <c r="J14" s="107">
        <v>0</v>
      </c>
      <c r="K14" s="107">
        <v>0</v>
      </c>
      <c r="L14" s="107">
        <v>0</v>
      </c>
      <c r="M14" s="107">
        <v>0</v>
      </c>
      <c r="N14" s="107">
        <v>0</v>
      </c>
      <c r="O14" s="107">
        <v>0</v>
      </c>
      <c r="P14" s="107">
        <v>0</v>
      </c>
      <c r="Q14" s="107">
        <v>0</v>
      </c>
      <c r="R14" s="114">
        <v>5</v>
      </c>
      <c r="S14" s="115">
        <v>12</v>
      </c>
      <c r="T14" s="205">
        <v>23</v>
      </c>
    </row>
    <row r="15" spans="2:20" ht="17.25" x14ac:dyDescent="0.3">
      <c r="B15" s="122">
        <v>11</v>
      </c>
      <c r="C15" s="103" t="s">
        <v>30</v>
      </c>
      <c r="D15" s="89"/>
      <c r="E15" s="113">
        <v>8</v>
      </c>
      <c r="F15" s="105">
        <v>0</v>
      </c>
      <c r="G15" s="106">
        <f t="shared" si="0"/>
        <v>8</v>
      </c>
      <c r="H15" s="105">
        <v>2</v>
      </c>
      <c r="I15" s="107">
        <v>0</v>
      </c>
      <c r="J15" s="107">
        <v>0</v>
      </c>
      <c r="K15" s="107">
        <v>0</v>
      </c>
      <c r="L15" s="107">
        <v>0</v>
      </c>
      <c r="M15" s="107">
        <v>6</v>
      </c>
      <c r="N15" s="107">
        <v>0</v>
      </c>
      <c r="O15" s="107" t="s">
        <v>72</v>
      </c>
      <c r="P15" s="114">
        <v>0</v>
      </c>
      <c r="Q15" s="114">
        <v>0</v>
      </c>
      <c r="R15" s="114">
        <v>11</v>
      </c>
      <c r="S15" s="115">
        <v>26</v>
      </c>
      <c r="T15" s="205">
        <v>36</v>
      </c>
    </row>
    <row r="16" spans="2:20" ht="17.25" x14ac:dyDescent="0.3">
      <c r="B16" s="122">
        <v>12</v>
      </c>
      <c r="C16" s="103" t="s">
        <v>61</v>
      </c>
      <c r="D16" s="89"/>
      <c r="E16" s="113">
        <v>2</v>
      </c>
      <c r="F16" s="105">
        <v>0</v>
      </c>
      <c r="G16" s="106">
        <f t="shared" si="0"/>
        <v>2</v>
      </c>
      <c r="H16" s="206">
        <v>4</v>
      </c>
      <c r="I16" s="107">
        <v>0</v>
      </c>
      <c r="J16" s="107">
        <v>0</v>
      </c>
      <c r="K16" s="107">
        <v>0</v>
      </c>
      <c r="L16" s="107">
        <v>0</v>
      </c>
      <c r="M16" s="107">
        <v>0</v>
      </c>
      <c r="N16" s="107">
        <v>0</v>
      </c>
      <c r="O16" s="107">
        <v>0</v>
      </c>
      <c r="P16" s="107">
        <v>0</v>
      </c>
      <c r="Q16" s="107">
        <v>0</v>
      </c>
      <c r="R16" s="107">
        <v>4</v>
      </c>
      <c r="S16" s="115">
        <v>17</v>
      </c>
      <c r="T16" s="205">
        <v>28</v>
      </c>
    </row>
    <row r="17" spans="2:20" ht="18.75" customHeight="1" x14ac:dyDescent="0.3">
      <c r="B17" s="122">
        <v>13</v>
      </c>
      <c r="C17" s="103" t="s">
        <v>63</v>
      </c>
      <c r="D17" s="89"/>
      <c r="E17" s="105">
        <v>0</v>
      </c>
      <c r="F17" s="105">
        <v>0</v>
      </c>
      <c r="G17" s="106">
        <f t="shared" si="0"/>
        <v>0</v>
      </c>
      <c r="H17" s="105">
        <v>0</v>
      </c>
      <c r="I17" s="107">
        <v>0</v>
      </c>
      <c r="J17" s="107">
        <v>0</v>
      </c>
      <c r="K17" s="107">
        <v>0</v>
      </c>
      <c r="L17" s="107">
        <v>0</v>
      </c>
      <c r="M17" s="107">
        <v>0</v>
      </c>
      <c r="N17" s="107">
        <v>0</v>
      </c>
      <c r="O17" s="107" t="s">
        <v>72</v>
      </c>
      <c r="P17" s="107">
        <v>0</v>
      </c>
      <c r="Q17" s="107">
        <v>0</v>
      </c>
      <c r="R17" s="107">
        <v>9</v>
      </c>
      <c r="S17" s="115">
        <v>24</v>
      </c>
      <c r="T17" s="205">
        <v>20</v>
      </c>
    </row>
    <row r="18" spans="2:20" ht="17.25" x14ac:dyDescent="0.3">
      <c r="B18" s="122">
        <v>14</v>
      </c>
      <c r="C18" s="103" t="s">
        <v>44</v>
      </c>
      <c r="D18" s="89"/>
      <c r="E18" s="113">
        <v>6.5</v>
      </c>
      <c r="F18" s="105">
        <v>0</v>
      </c>
      <c r="G18" s="106">
        <f t="shared" si="0"/>
        <v>6.5</v>
      </c>
      <c r="H18" s="116">
        <v>4</v>
      </c>
      <c r="I18" s="107">
        <v>0</v>
      </c>
      <c r="J18" s="107">
        <v>0</v>
      </c>
      <c r="K18" s="107">
        <v>0</v>
      </c>
      <c r="L18" s="107">
        <v>0</v>
      </c>
      <c r="M18" s="107">
        <v>1</v>
      </c>
      <c r="N18" s="107">
        <v>0</v>
      </c>
      <c r="O18" s="107" t="s">
        <v>72</v>
      </c>
      <c r="P18" s="107">
        <v>0</v>
      </c>
      <c r="Q18" s="107">
        <v>0</v>
      </c>
      <c r="R18" s="114">
        <v>3</v>
      </c>
      <c r="S18" s="115">
        <v>11</v>
      </c>
      <c r="T18" s="205">
        <v>31</v>
      </c>
    </row>
    <row r="19" spans="2:20" ht="17.25" x14ac:dyDescent="0.3">
      <c r="B19" s="122">
        <v>15</v>
      </c>
      <c r="C19" s="103" t="s">
        <v>125</v>
      </c>
      <c r="D19" s="89"/>
      <c r="E19" s="113">
        <v>2</v>
      </c>
      <c r="F19" s="105">
        <v>0</v>
      </c>
      <c r="G19" s="106">
        <f t="shared" si="0"/>
        <v>2</v>
      </c>
      <c r="H19" s="105">
        <v>0</v>
      </c>
      <c r="I19" s="107">
        <v>0</v>
      </c>
      <c r="J19" s="107">
        <v>0</v>
      </c>
      <c r="K19" s="107">
        <v>0</v>
      </c>
      <c r="L19" s="107">
        <v>0</v>
      </c>
      <c r="M19" s="107">
        <v>1</v>
      </c>
      <c r="N19" s="107">
        <v>0</v>
      </c>
      <c r="O19" s="107" t="s">
        <v>131</v>
      </c>
      <c r="P19" s="114">
        <v>0.5</v>
      </c>
      <c r="Q19" s="107">
        <v>0</v>
      </c>
      <c r="R19" s="226">
        <v>2</v>
      </c>
      <c r="S19" s="115">
        <v>12</v>
      </c>
      <c r="T19" s="205">
        <v>13</v>
      </c>
    </row>
    <row r="20" spans="2:20" ht="17.25" x14ac:dyDescent="0.3">
      <c r="B20" s="122">
        <v>16</v>
      </c>
      <c r="C20" s="103" t="s">
        <v>49</v>
      </c>
      <c r="D20" s="89"/>
      <c r="E20" s="113">
        <v>1</v>
      </c>
      <c r="F20" s="105">
        <v>0</v>
      </c>
      <c r="G20" s="106">
        <f t="shared" si="0"/>
        <v>1</v>
      </c>
      <c r="H20" s="105">
        <v>0</v>
      </c>
      <c r="I20" s="107">
        <v>0</v>
      </c>
      <c r="J20" s="107">
        <v>0</v>
      </c>
      <c r="K20" s="107">
        <v>0</v>
      </c>
      <c r="L20" s="107">
        <v>0</v>
      </c>
      <c r="M20" s="107">
        <v>0</v>
      </c>
      <c r="N20" s="107">
        <v>0</v>
      </c>
      <c r="O20" s="107">
        <v>0</v>
      </c>
      <c r="P20" s="107">
        <v>0</v>
      </c>
      <c r="Q20" s="107">
        <v>0</v>
      </c>
      <c r="R20" s="107">
        <v>2</v>
      </c>
      <c r="S20" s="115">
        <v>16</v>
      </c>
      <c r="T20" s="205">
        <v>25</v>
      </c>
    </row>
    <row r="21" spans="2:20" ht="17.25" x14ac:dyDescent="0.3">
      <c r="B21" s="122">
        <v>17</v>
      </c>
      <c r="C21" s="104" t="s">
        <v>126</v>
      </c>
      <c r="D21" s="89"/>
      <c r="E21" s="113">
        <v>0.5</v>
      </c>
      <c r="F21" s="105">
        <v>0</v>
      </c>
      <c r="G21" s="106">
        <f t="shared" si="0"/>
        <v>0.5</v>
      </c>
      <c r="H21" s="105">
        <v>0</v>
      </c>
      <c r="I21" s="107">
        <v>0</v>
      </c>
      <c r="J21" s="107">
        <v>0</v>
      </c>
      <c r="K21" s="107">
        <v>0</v>
      </c>
      <c r="L21" s="107">
        <v>0</v>
      </c>
      <c r="M21" s="107">
        <v>2</v>
      </c>
      <c r="N21" s="107">
        <v>0</v>
      </c>
      <c r="O21" s="107">
        <v>0</v>
      </c>
      <c r="P21" s="107">
        <v>0</v>
      </c>
      <c r="Q21" s="107">
        <v>0</v>
      </c>
      <c r="R21" s="107">
        <v>1</v>
      </c>
      <c r="S21" s="115">
        <v>2</v>
      </c>
      <c r="T21" s="205">
        <v>7</v>
      </c>
    </row>
    <row r="22" spans="2:20" ht="17.25" x14ac:dyDescent="0.3">
      <c r="B22" s="122">
        <v>18</v>
      </c>
      <c r="C22" s="104" t="s">
        <v>77</v>
      </c>
      <c r="D22" s="89"/>
      <c r="E22" s="113">
        <v>2</v>
      </c>
      <c r="F22" s="105">
        <v>0</v>
      </c>
      <c r="G22" s="106">
        <f t="shared" si="0"/>
        <v>2</v>
      </c>
      <c r="H22" s="116">
        <v>4</v>
      </c>
      <c r="I22" s="107">
        <v>0</v>
      </c>
      <c r="J22" s="107">
        <v>0</v>
      </c>
      <c r="K22" s="107">
        <v>0</v>
      </c>
      <c r="L22" s="107">
        <v>0</v>
      </c>
      <c r="M22" s="114">
        <v>6</v>
      </c>
      <c r="N22" s="107">
        <v>0</v>
      </c>
      <c r="O22" s="107">
        <v>0</v>
      </c>
      <c r="P22" s="107">
        <v>1</v>
      </c>
      <c r="Q22" s="107">
        <v>0</v>
      </c>
      <c r="R22" s="114">
        <v>7</v>
      </c>
      <c r="S22" s="115">
        <v>28</v>
      </c>
      <c r="T22" s="205">
        <v>24</v>
      </c>
    </row>
    <row r="23" spans="2:20" ht="17.25" x14ac:dyDescent="0.3">
      <c r="B23" s="122">
        <v>19</v>
      </c>
      <c r="C23" s="104" t="s">
        <v>112</v>
      </c>
      <c r="D23" s="89"/>
      <c r="E23" s="113">
        <v>1.5</v>
      </c>
      <c r="F23" s="105">
        <v>0</v>
      </c>
      <c r="G23" s="106">
        <f t="shared" si="0"/>
        <v>1.5</v>
      </c>
      <c r="H23" s="116">
        <v>2</v>
      </c>
      <c r="I23" s="107">
        <v>0</v>
      </c>
      <c r="J23" s="107">
        <v>0</v>
      </c>
      <c r="K23" s="107">
        <v>0</v>
      </c>
      <c r="L23" s="107">
        <v>0</v>
      </c>
      <c r="M23" s="107">
        <v>1</v>
      </c>
      <c r="N23" s="107">
        <v>0</v>
      </c>
      <c r="O23" s="107" t="s">
        <v>28</v>
      </c>
      <c r="P23" s="114">
        <v>6</v>
      </c>
      <c r="Q23" s="107">
        <v>0</v>
      </c>
      <c r="R23" s="107">
        <v>0</v>
      </c>
      <c r="S23" s="115">
        <v>3</v>
      </c>
      <c r="T23" s="205">
        <v>4</v>
      </c>
    </row>
    <row r="24" spans="2:20" s="91" customFormat="1" ht="17.25" x14ac:dyDescent="0.3">
      <c r="B24" s="122">
        <v>20</v>
      </c>
      <c r="C24" s="208" t="s">
        <v>113</v>
      </c>
      <c r="D24" s="125"/>
      <c r="E24" s="105">
        <v>0</v>
      </c>
      <c r="F24" s="105">
        <v>0</v>
      </c>
      <c r="G24" s="106">
        <f t="shared" si="0"/>
        <v>0</v>
      </c>
      <c r="H24" s="105">
        <v>0</v>
      </c>
      <c r="I24" s="107">
        <v>0</v>
      </c>
      <c r="J24" s="107">
        <v>0</v>
      </c>
      <c r="K24" s="107">
        <v>0</v>
      </c>
      <c r="L24" s="107">
        <v>0</v>
      </c>
      <c r="M24" s="107">
        <v>2</v>
      </c>
      <c r="N24" s="107">
        <v>0</v>
      </c>
      <c r="O24" s="107"/>
      <c r="P24" s="107">
        <v>0</v>
      </c>
      <c r="Q24" s="107">
        <v>0</v>
      </c>
      <c r="R24" s="107">
        <v>0</v>
      </c>
      <c r="S24" s="212">
        <v>5</v>
      </c>
      <c r="T24" s="213">
        <v>8</v>
      </c>
    </row>
    <row r="25" spans="2:20" s="91" customFormat="1" ht="17.25" x14ac:dyDescent="0.3">
      <c r="B25" s="122">
        <v>21</v>
      </c>
      <c r="C25" s="214" t="s">
        <v>114</v>
      </c>
      <c r="D25" s="89"/>
      <c r="E25" s="105">
        <v>0</v>
      </c>
      <c r="F25" s="105">
        <v>0</v>
      </c>
      <c r="G25" s="106">
        <f t="shared" si="0"/>
        <v>0</v>
      </c>
      <c r="H25" s="105">
        <v>0</v>
      </c>
      <c r="I25" s="107">
        <v>3</v>
      </c>
      <c r="J25" s="107">
        <v>0</v>
      </c>
      <c r="K25" s="107">
        <v>0</v>
      </c>
      <c r="L25" s="107">
        <v>3</v>
      </c>
      <c r="M25" s="107">
        <v>0</v>
      </c>
      <c r="N25" s="107">
        <v>0</v>
      </c>
      <c r="O25" s="107" t="s">
        <v>111</v>
      </c>
      <c r="P25" s="119">
        <v>1</v>
      </c>
      <c r="Q25" s="107">
        <v>0</v>
      </c>
      <c r="R25" s="107">
        <v>0</v>
      </c>
      <c r="S25" s="205">
        <v>6</v>
      </c>
      <c r="T25" s="205">
        <v>10</v>
      </c>
    </row>
    <row r="26" spans="2:20" s="91" customFormat="1" ht="17.25" x14ac:dyDescent="0.3">
      <c r="B26" s="122">
        <v>22</v>
      </c>
      <c r="C26" s="214" t="s">
        <v>115</v>
      </c>
      <c r="D26" s="126"/>
      <c r="E26" s="105">
        <v>0</v>
      </c>
      <c r="F26" s="105">
        <v>0</v>
      </c>
      <c r="G26" s="106">
        <f t="shared" si="0"/>
        <v>0</v>
      </c>
      <c r="H26" s="105">
        <v>0</v>
      </c>
      <c r="I26" s="107">
        <v>7</v>
      </c>
      <c r="J26" s="107">
        <v>0</v>
      </c>
      <c r="K26" s="107">
        <v>0</v>
      </c>
      <c r="L26" s="107">
        <v>7</v>
      </c>
      <c r="M26" s="107">
        <v>0</v>
      </c>
      <c r="N26" s="107">
        <v>0</v>
      </c>
      <c r="O26" s="107" t="s">
        <v>72</v>
      </c>
      <c r="P26" s="119">
        <v>3</v>
      </c>
      <c r="Q26" s="107">
        <v>0</v>
      </c>
      <c r="R26" s="107">
        <v>0</v>
      </c>
      <c r="S26" s="205"/>
      <c r="T26" s="205"/>
    </row>
    <row r="27" spans="2:20" s="91" customFormat="1" ht="17.25" hidden="1" x14ac:dyDescent="0.3">
      <c r="B27" s="122">
        <v>23</v>
      </c>
      <c r="C27" s="214" t="s">
        <v>116</v>
      </c>
      <c r="D27" s="126"/>
      <c r="E27" s="105">
        <v>0</v>
      </c>
      <c r="F27" s="105">
        <v>0</v>
      </c>
      <c r="G27" s="106">
        <f t="shared" si="0"/>
        <v>0</v>
      </c>
      <c r="H27" s="105">
        <v>0</v>
      </c>
      <c r="I27" s="107"/>
      <c r="J27" s="107">
        <v>0</v>
      </c>
      <c r="K27" s="107">
        <v>0</v>
      </c>
      <c r="L27" s="107"/>
      <c r="M27" s="107">
        <v>0</v>
      </c>
      <c r="N27" s="107">
        <v>0</v>
      </c>
      <c r="O27" s="107"/>
      <c r="P27" s="107"/>
      <c r="Q27" s="107"/>
      <c r="R27" s="107"/>
      <c r="S27" s="205"/>
      <c r="T27" s="205"/>
    </row>
    <row r="28" spans="2:20" s="91" customFormat="1" ht="17.25" x14ac:dyDescent="0.3">
      <c r="B28" s="122">
        <v>24</v>
      </c>
      <c r="C28" s="214" t="s">
        <v>120</v>
      </c>
      <c r="D28" s="126"/>
      <c r="E28" s="105">
        <v>0</v>
      </c>
      <c r="F28" s="105">
        <v>0</v>
      </c>
      <c r="G28" s="106">
        <f t="shared" si="0"/>
        <v>0</v>
      </c>
      <c r="H28" s="105">
        <v>0</v>
      </c>
      <c r="I28" s="107">
        <v>0</v>
      </c>
      <c r="J28" s="107">
        <v>0</v>
      </c>
      <c r="K28" s="107">
        <v>0</v>
      </c>
      <c r="L28" s="107">
        <v>0</v>
      </c>
      <c r="M28" s="107">
        <v>0</v>
      </c>
      <c r="N28" s="107">
        <v>0</v>
      </c>
      <c r="O28" s="107">
        <v>0</v>
      </c>
      <c r="P28" s="107">
        <v>0</v>
      </c>
      <c r="Q28" s="107">
        <v>0</v>
      </c>
      <c r="R28" s="107">
        <v>1</v>
      </c>
      <c r="S28" s="120">
        <v>2</v>
      </c>
      <c r="T28" s="205">
        <v>2</v>
      </c>
    </row>
    <row r="29" spans="2:20" s="91" customFormat="1" ht="17.25" x14ac:dyDescent="0.3">
      <c r="B29" s="122">
        <v>25</v>
      </c>
      <c r="C29" s="214" t="s">
        <v>117</v>
      </c>
      <c r="D29" s="126"/>
      <c r="E29" s="105">
        <v>0</v>
      </c>
      <c r="F29" s="105">
        <v>0</v>
      </c>
      <c r="G29" s="106">
        <f t="shared" si="0"/>
        <v>0</v>
      </c>
      <c r="H29" s="105">
        <v>0</v>
      </c>
      <c r="I29" s="107">
        <v>0</v>
      </c>
      <c r="J29" s="107">
        <v>0</v>
      </c>
      <c r="K29" s="107">
        <v>0</v>
      </c>
      <c r="L29" s="107">
        <v>0</v>
      </c>
      <c r="M29" s="107">
        <v>0</v>
      </c>
      <c r="N29" s="107">
        <v>0</v>
      </c>
      <c r="O29" s="107">
        <v>0</v>
      </c>
      <c r="P29" s="107">
        <v>0</v>
      </c>
      <c r="Q29" s="107">
        <v>0</v>
      </c>
      <c r="R29" s="107">
        <v>0</v>
      </c>
      <c r="S29" s="120">
        <v>1</v>
      </c>
      <c r="T29" s="205">
        <v>4</v>
      </c>
    </row>
    <row r="30" spans="2:20" s="91" customFormat="1" ht="17.25" x14ac:dyDescent="0.3">
      <c r="B30" s="122">
        <v>26</v>
      </c>
      <c r="C30" s="214" t="s">
        <v>116</v>
      </c>
      <c r="D30" s="126"/>
      <c r="E30" s="105">
        <v>0</v>
      </c>
      <c r="F30" s="105">
        <v>0</v>
      </c>
      <c r="G30" s="106"/>
      <c r="H30" s="105">
        <v>0</v>
      </c>
      <c r="I30" s="107">
        <v>0</v>
      </c>
      <c r="J30" s="107">
        <v>0</v>
      </c>
      <c r="K30" s="107">
        <v>0</v>
      </c>
      <c r="L30" s="107">
        <v>0</v>
      </c>
      <c r="M30" s="107">
        <v>0</v>
      </c>
      <c r="N30" s="107">
        <v>0</v>
      </c>
      <c r="O30" s="107" t="s">
        <v>28</v>
      </c>
      <c r="P30" s="119">
        <v>1.5</v>
      </c>
      <c r="Q30" s="107">
        <v>0</v>
      </c>
      <c r="R30" s="107">
        <v>0</v>
      </c>
      <c r="S30" s="120"/>
      <c r="T30" s="205"/>
    </row>
    <row r="31" spans="2:20" ht="15.75" thickBot="1" x14ac:dyDescent="0.25">
      <c r="B31" s="93"/>
      <c r="C31" s="94" t="s">
        <v>17</v>
      </c>
      <c r="D31" s="95">
        <f>SUM(D5:D24)</f>
        <v>0</v>
      </c>
      <c r="E31" s="121">
        <f>SUM(E5:E28)</f>
        <v>47</v>
      </c>
      <c r="F31" s="121">
        <f>SUM(F5:F27)</f>
        <v>0</v>
      </c>
      <c r="G31" s="121">
        <f t="shared" ref="G31" si="1">SUM($E31:$F31)</f>
        <v>47</v>
      </c>
      <c r="H31" s="121">
        <f t="shared" ref="H31:Q31" si="2">SUM(H5:H27)</f>
        <v>35</v>
      </c>
      <c r="I31" s="121">
        <f t="shared" si="2"/>
        <v>10</v>
      </c>
      <c r="J31" s="121">
        <f t="shared" si="2"/>
        <v>0</v>
      </c>
      <c r="K31" s="121">
        <f t="shared" si="2"/>
        <v>0</v>
      </c>
      <c r="L31" s="121">
        <f t="shared" si="2"/>
        <v>10</v>
      </c>
      <c r="M31" s="121">
        <f t="shared" si="2"/>
        <v>36</v>
      </c>
      <c r="N31" s="121">
        <f t="shared" si="2"/>
        <v>0</v>
      </c>
      <c r="O31" s="121">
        <f t="shared" si="2"/>
        <v>0</v>
      </c>
      <c r="P31" s="121">
        <f t="shared" si="2"/>
        <v>13.5</v>
      </c>
      <c r="Q31" s="121">
        <f t="shared" si="2"/>
        <v>0</v>
      </c>
      <c r="R31" s="121">
        <f>SUM(R5:R30)</f>
        <v>86</v>
      </c>
      <c r="S31" s="121">
        <f>SUM(S5:S30)</f>
        <v>304</v>
      </c>
      <c r="T31" s="121">
        <f>SUM(T5:T30)</f>
        <v>444</v>
      </c>
    </row>
    <row r="32" spans="2:20" ht="15" x14ac:dyDescent="0.2">
      <c r="B32" s="96"/>
      <c r="C32" s="96"/>
      <c r="D32" s="97"/>
      <c r="E32" s="98"/>
      <c r="F32" s="98"/>
      <c r="G32" s="98"/>
      <c r="H32" s="98"/>
      <c r="I32" s="96"/>
      <c r="J32" s="98"/>
      <c r="K32" s="98"/>
      <c r="L32" s="98"/>
      <c r="M32" s="98"/>
      <c r="N32" s="98"/>
      <c r="O32" s="98"/>
      <c r="P32" s="98"/>
      <c r="Q32" s="98"/>
      <c r="R32" s="98"/>
      <c r="S32" s="96"/>
      <c r="T32" s="96"/>
    </row>
    <row r="34" spans="4:20" x14ac:dyDescent="0.2">
      <c r="L34" s="91"/>
      <c r="M34" s="84"/>
      <c r="N34" s="84"/>
      <c r="O34" s="91"/>
      <c r="S34" s="100"/>
      <c r="T34" s="100"/>
    </row>
    <row r="35" spans="4:20" x14ac:dyDescent="0.2">
      <c r="D35" s="91"/>
      <c r="E35" s="99"/>
      <c r="I35" s="86"/>
      <c r="J35" s="91"/>
      <c r="K35" s="91"/>
      <c r="S35" s="86"/>
    </row>
  </sheetData>
  <mergeCells count="21">
    <mergeCell ref="E3:E4"/>
    <mergeCell ref="F3:F4"/>
    <mergeCell ref="G3:G4"/>
    <mergeCell ref="H3:H4"/>
    <mergeCell ref="M34:N34"/>
    <mergeCell ref="N2:N4"/>
    <mergeCell ref="O2:O4"/>
    <mergeCell ref="P2:Q3"/>
    <mergeCell ref="R2:R4"/>
    <mergeCell ref="S2:S4"/>
    <mergeCell ref="T2:T4"/>
    <mergeCell ref="B1:T1"/>
    <mergeCell ref="B2:B4"/>
    <mergeCell ref="C2:C4"/>
    <mergeCell ref="D2:D4"/>
    <mergeCell ref="E2:H2"/>
    <mergeCell ref="I2:I4"/>
    <mergeCell ref="J2:J4"/>
    <mergeCell ref="K2:K4"/>
    <mergeCell ref="L2:L4"/>
    <mergeCell ref="M2:M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21454-678B-4D77-BE05-E5139DF73769}">
  <dimension ref="B1:T39"/>
  <sheetViews>
    <sheetView zoomScale="85" zoomScaleNormal="85" workbookViewId="0">
      <selection activeCell="J10" sqref="J10"/>
    </sheetView>
  </sheetViews>
  <sheetFormatPr defaultRowHeight="14.25" x14ac:dyDescent="0.2"/>
  <cols>
    <col min="1" max="1" width="9.140625" style="86"/>
    <col min="2" max="2" width="9.140625" style="91"/>
    <col min="3" max="3" width="20.42578125" style="91" customWidth="1"/>
    <col min="4" max="4" width="15.140625" style="99" hidden="1" customWidth="1"/>
    <col min="5" max="5" width="20.7109375" style="86" customWidth="1"/>
    <col min="6" max="6" width="11.85546875" style="86" customWidth="1"/>
    <col min="7" max="7" width="10.42578125" style="86" customWidth="1"/>
    <col min="8" max="8" width="13.42578125" style="86" customWidth="1"/>
    <col min="9" max="9" width="19.28515625" style="91" customWidth="1"/>
    <col min="10" max="10" width="19.28515625" style="86" customWidth="1"/>
    <col min="11" max="11" width="11.28515625" style="86" customWidth="1"/>
    <col min="12" max="12" width="7.28515625" style="86" customWidth="1"/>
    <col min="13" max="13" width="11.140625" style="86" customWidth="1"/>
    <col min="14" max="14" width="12.7109375" style="86" customWidth="1"/>
    <col min="15" max="15" width="16.140625" style="86" customWidth="1"/>
    <col min="16" max="17" width="8" style="86" customWidth="1"/>
    <col min="18" max="18" width="11" style="86" customWidth="1"/>
    <col min="19" max="19" width="16" style="91" customWidth="1"/>
    <col min="20" max="20" width="12.5703125" style="91" customWidth="1"/>
    <col min="21" max="16384" width="9.140625" style="86"/>
  </cols>
  <sheetData>
    <row r="1" spans="2:20" ht="24" thickBot="1" x14ac:dyDescent="0.4">
      <c r="B1" s="197" t="s">
        <v>132</v>
      </c>
      <c r="C1" s="198"/>
      <c r="D1" s="198"/>
      <c r="E1" s="198"/>
      <c r="F1" s="198"/>
      <c r="G1" s="198"/>
      <c r="H1" s="198"/>
      <c r="I1" s="198"/>
      <c r="J1" s="198"/>
      <c r="K1" s="198"/>
      <c r="L1" s="198"/>
      <c r="M1" s="198"/>
      <c r="N1" s="198"/>
      <c r="O1" s="198"/>
      <c r="P1" s="198"/>
      <c r="Q1" s="198"/>
      <c r="R1" s="198"/>
      <c r="S1" s="198"/>
      <c r="T1" s="198"/>
    </row>
    <row r="2" spans="2:20" ht="15" customHeight="1" thickBot="1" x14ac:dyDescent="0.25">
      <c r="B2" s="171" t="s">
        <v>1</v>
      </c>
      <c r="C2" s="174" t="s">
        <v>2</v>
      </c>
      <c r="D2" s="184" t="s">
        <v>66</v>
      </c>
      <c r="E2" s="168" t="s">
        <v>3</v>
      </c>
      <c r="F2" s="169"/>
      <c r="G2" s="169"/>
      <c r="H2" s="170"/>
      <c r="I2" s="165" t="s">
        <v>4</v>
      </c>
      <c r="J2" s="165" t="s">
        <v>5</v>
      </c>
      <c r="K2" s="165" t="s">
        <v>6</v>
      </c>
      <c r="L2" s="181" t="s">
        <v>7</v>
      </c>
      <c r="M2" s="165" t="s">
        <v>8</v>
      </c>
      <c r="N2" s="181" t="s">
        <v>9</v>
      </c>
      <c r="O2" s="165" t="s">
        <v>10</v>
      </c>
      <c r="P2" s="83" t="s">
        <v>11</v>
      </c>
      <c r="Q2" s="162"/>
      <c r="R2" s="162" t="s">
        <v>12</v>
      </c>
      <c r="S2" s="194" t="s">
        <v>13</v>
      </c>
      <c r="T2" s="199" t="s">
        <v>14</v>
      </c>
    </row>
    <row r="3" spans="2:20" ht="48" customHeight="1" thickBot="1" x14ac:dyDescent="0.25">
      <c r="B3" s="172"/>
      <c r="C3" s="175"/>
      <c r="D3" s="185"/>
      <c r="E3" s="177" t="s">
        <v>18</v>
      </c>
      <c r="F3" s="177" t="s">
        <v>68</v>
      </c>
      <c r="G3" s="179" t="s">
        <v>20</v>
      </c>
      <c r="H3" s="177" t="s">
        <v>21</v>
      </c>
      <c r="I3" s="166"/>
      <c r="J3" s="166"/>
      <c r="K3" s="166"/>
      <c r="L3" s="182"/>
      <c r="M3" s="166"/>
      <c r="N3" s="182"/>
      <c r="O3" s="166"/>
      <c r="P3" s="163"/>
      <c r="Q3" s="164"/>
      <c r="R3" s="164"/>
      <c r="S3" s="195"/>
      <c r="T3" s="200"/>
    </row>
    <row r="4" spans="2:20" ht="16.5" thickBot="1" x14ac:dyDescent="0.25">
      <c r="B4" s="173"/>
      <c r="C4" s="176"/>
      <c r="D4" s="186"/>
      <c r="E4" s="178"/>
      <c r="F4" s="178"/>
      <c r="G4" s="180"/>
      <c r="H4" s="178"/>
      <c r="I4" s="167"/>
      <c r="J4" s="167"/>
      <c r="K4" s="167"/>
      <c r="L4" s="183"/>
      <c r="M4" s="167"/>
      <c r="N4" s="183"/>
      <c r="O4" s="167"/>
      <c r="P4" s="124" t="s">
        <v>69</v>
      </c>
      <c r="Q4" s="123" t="s">
        <v>70</v>
      </c>
      <c r="R4" s="193"/>
      <c r="S4" s="196"/>
      <c r="T4" s="201"/>
    </row>
    <row r="5" spans="2:20" ht="22.5" customHeight="1" x14ac:dyDescent="0.2">
      <c r="B5" s="122">
        <v>1</v>
      </c>
      <c r="C5" s="102" t="s">
        <v>35</v>
      </c>
      <c r="D5" s="88"/>
      <c r="E5" s="105">
        <v>8</v>
      </c>
      <c r="F5" s="105">
        <v>0</v>
      </c>
      <c r="G5" s="106">
        <f>SUM($E5:$F5)</f>
        <v>8</v>
      </c>
      <c r="H5" s="105">
        <v>4</v>
      </c>
      <c r="I5" s="107">
        <v>0</v>
      </c>
      <c r="J5" s="107">
        <v>0</v>
      </c>
      <c r="K5" s="107">
        <v>2</v>
      </c>
      <c r="L5" s="107">
        <v>0</v>
      </c>
      <c r="M5" s="107">
        <v>0</v>
      </c>
      <c r="N5" s="107">
        <v>0</v>
      </c>
      <c r="O5" s="107">
        <v>0</v>
      </c>
      <c r="P5" s="107">
        <v>0</v>
      </c>
      <c r="Q5" s="107">
        <v>0</v>
      </c>
      <c r="R5" s="107">
        <v>0</v>
      </c>
      <c r="S5" s="108">
        <v>15</v>
      </c>
      <c r="T5" s="202">
        <v>21</v>
      </c>
    </row>
    <row r="6" spans="2:20" ht="17.25" x14ac:dyDescent="0.3">
      <c r="B6" s="122">
        <v>2</v>
      </c>
      <c r="C6" s="203" t="s">
        <v>104</v>
      </c>
      <c r="D6" s="89"/>
      <c r="E6" s="113">
        <v>5</v>
      </c>
      <c r="F6" s="105">
        <v>0</v>
      </c>
      <c r="G6" s="106">
        <f t="shared" ref="G6:G35" si="0">SUM($E6:$F6)</f>
        <v>5</v>
      </c>
      <c r="H6" s="204">
        <v>6</v>
      </c>
      <c r="I6" s="107">
        <v>0</v>
      </c>
      <c r="J6" s="107">
        <v>0</v>
      </c>
      <c r="K6" s="107">
        <v>1</v>
      </c>
      <c r="L6" s="107">
        <v>0</v>
      </c>
      <c r="M6" s="107">
        <v>0</v>
      </c>
      <c r="N6" s="107">
        <v>0</v>
      </c>
      <c r="O6" s="107" t="s">
        <v>133</v>
      </c>
      <c r="P6" s="107">
        <v>0</v>
      </c>
      <c r="Q6" s="107">
        <v>0</v>
      </c>
      <c r="R6" s="114">
        <v>3</v>
      </c>
      <c r="S6" s="115">
        <v>38</v>
      </c>
      <c r="T6" s="205">
        <v>19</v>
      </c>
    </row>
    <row r="7" spans="2:20" ht="17.25" x14ac:dyDescent="0.3">
      <c r="B7" s="122">
        <v>3</v>
      </c>
      <c r="C7" s="103" t="s">
        <v>105</v>
      </c>
      <c r="D7" s="89"/>
      <c r="E7" s="113">
        <v>4</v>
      </c>
      <c r="F7" s="105">
        <v>0</v>
      </c>
      <c r="G7" s="106">
        <f t="shared" si="0"/>
        <v>4</v>
      </c>
      <c r="H7" s="105">
        <v>1</v>
      </c>
      <c r="I7" s="107">
        <v>0</v>
      </c>
      <c r="J7" s="107">
        <v>0</v>
      </c>
      <c r="K7" s="107">
        <v>1</v>
      </c>
      <c r="L7" s="107">
        <v>0</v>
      </c>
      <c r="M7" s="107">
        <v>0</v>
      </c>
      <c r="N7" s="107">
        <v>0</v>
      </c>
      <c r="O7" s="107" t="s">
        <v>134</v>
      </c>
      <c r="P7" s="107">
        <v>1</v>
      </c>
      <c r="Q7" s="107">
        <v>0</v>
      </c>
      <c r="R7" s="114">
        <v>5</v>
      </c>
      <c r="S7" s="115">
        <v>42</v>
      </c>
      <c r="T7" s="205">
        <v>19</v>
      </c>
    </row>
    <row r="8" spans="2:20" ht="17.25" x14ac:dyDescent="0.3">
      <c r="B8" s="122">
        <v>4</v>
      </c>
      <c r="C8" s="103" t="s">
        <v>107</v>
      </c>
      <c r="D8" s="89"/>
      <c r="E8" s="113">
        <v>1</v>
      </c>
      <c r="F8" s="105">
        <v>0</v>
      </c>
      <c r="G8" s="106">
        <f t="shared" si="0"/>
        <v>1</v>
      </c>
      <c r="H8" s="206">
        <v>9</v>
      </c>
      <c r="I8" s="107">
        <v>0</v>
      </c>
      <c r="J8" s="107">
        <v>0</v>
      </c>
      <c r="K8" s="107">
        <v>2</v>
      </c>
      <c r="L8" s="107">
        <v>0</v>
      </c>
      <c r="M8" s="107">
        <v>0</v>
      </c>
      <c r="N8" s="107">
        <v>0</v>
      </c>
      <c r="O8" s="107" t="s">
        <v>133</v>
      </c>
      <c r="P8" s="107">
        <v>0</v>
      </c>
      <c r="Q8" s="107">
        <v>0</v>
      </c>
      <c r="R8" s="114">
        <v>2</v>
      </c>
      <c r="S8" s="115">
        <v>28</v>
      </c>
      <c r="T8" s="205">
        <v>16</v>
      </c>
    </row>
    <row r="9" spans="2:20" ht="17.25" x14ac:dyDescent="0.3">
      <c r="B9" s="122">
        <v>5</v>
      </c>
      <c r="C9" s="103" t="s">
        <v>55</v>
      </c>
      <c r="D9" s="89"/>
      <c r="E9" s="105">
        <v>0</v>
      </c>
      <c r="F9" s="105">
        <v>0</v>
      </c>
      <c r="G9" s="106">
        <f t="shared" si="0"/>
        <v>0</v>
      </c>
      <c r="H9" s="105">
        <v>0</v>
      </c>
      <c r="I9" s="107">
        <v>0</v>
      </c>
      <c r="J9" s="107">
        <v>0</v>
      </c>
      <c r="K9" s="107">
        <v>0</v>
      </c>
      <c r="L9" s="107">
        <v>0</v>
      </c>
      <c r="M9" s="107">
        <v>0</v>
      </c>
      <c r="N9" s="107">
        <v>0</v>
      </c>
      <c r="O9" s="107" t="s">
        <v>133</v>
      </c>
      <c r="P9" s="107">
        <v>0.5</v>
      </c>
      <c r="Q9" s="107">
        <v>0</v>
      </c>
      <c r="R9" s="107">
        <v>0</v>
      </c>
      <c r="S9" s="115">
        <v>6</v>
      </c>
      <c r="T9" s="205">
        <v>5</v>
      </c>
    </row>
    <row r="10" spans="2:20" ht="17.25" x14ac:dyDescent="0.3">
      <c r="B10" s="122">
        <v>6</v>
      </c>
      <c r="C10" s="103" t="s">
        <v>62</v>
      </c>
      <c r="D10" s="89"/>
      <c r="E10" s="105">
        <v>0</v>
      </c>
      <c r="F10" s="105">
        <v>0</v>
      </c>
      <c r="G10" s="106">
        <f t="shared" si="0"/>
        <v>0</v>
      </c>
      <c r="H10" s="105">
        <v>0</v>
      </c>
      <c r="I10" s="107">
        <v>0</v>
      </c>
      <c r="J10" s="107">
        <v>0</v>
      </c>
      <c r="K10" s="107">
        <v>0</v>
      </c>
      <c r="L10" s="107">
        <v>0</v>
      </c>
      <c r="M10" s="107">
        <v>0</v>
      </c>
      <c r="N10" s="107">
        <v>0</v>
      </c>
      <c r="O10" s="107" t="s">
        <v>133</v>
      </c>
      <c r="P10" s="107">
        <v>0</v>
      </c>
      <c r="Q10" s="107">
        <v>0</v>
      </c>
      <c r="R10" s="107">
        <v>0</v>
      </c>
      <c r="S10" s="115">
        <v>0</v>
      </c>
      <c r="T10" s="205">
        <v>0</v>
      </c>
    </row>
    <row r="11" spans="2:20" ht="17.25" x14ac:dyDescent="0.3">
      <c r="B11" s="122">
        <v>7</v>
      </c>
      <c r="C11" s="104" t="s">
        <v>99</v>
      </c>
      <c r="D11" s="89"/>
      <c r="E11" s="113">
        <v>1</v>
      </c>
      <c r="F11" s="105">
        <v>0</v>
      </c>
      <c r="G11" s="106">
        <f t="shared" si="0"/>
        <v>1</v>
      </c>
      <c r="H11" s="206">
        <v>5</v>
      </c>
      <c r="I11" s="107">
        <v>0</v>
      </c>
      <c r="J11" s="107">
        <v>0</v>
      </c>
      <c r="K11" s="107">
        <v>3</v>
      </c>
      <c r="L11" s="107">
        <v>0</v>
      </c>
      <c r="M11" s="107">
        <v>0</v>
      </c>
      <c r="N11" s="107">
        <v>0</v>
      </c>
      <c r="O11" s="107" t="s">
        <v>134</v>
      </c>
      <c r="P11" s="107">
        <v>0</v>
      </c>
      <c r="Q11" s="107">
        <v>0</v>
      </c>
      <c r="R11" s="107">
        <v>3</v>
      </c>
      <c r="S11" s="115">
        <v>36</v>
      </c>
      <c r="T11" s="205">
        <v>11</v>
      </c>
    </row>
    <row r="12" spans="2:20" ht="17.25" x14ac:dyDescent="0.3">
      <c r="B12" s="122">
        <v>8</v>
      </c>
      <c r="C12" s="104" t="s">
        <v>128</v>
      </c>
      <c r="D12" s="89"/>
      <c r="E12" s="113">
        <v>2.5</v>
      </c>
      <c r="F12" s="105">
        <v>0</v>
      </c>
      <c r="G12" s="106">
        <f t="shared" si="0"/>
        <v>2.5</v>
      </c>
      <c r="H12" s="113">
        <v>1</v>
      </c>
      <c r="I12" s="107">
        <v>0</v>
      </c>
      <c r="J12" s="107">
        <v>0</v>
      </c>
      <c r="K12" s="107">
        <v>1</v>
      </c>
      <c r="L12" s="107">
        <v>1</v>
      </c>
      <c r="M12" s="107">
        <v>0</v>
      </c>
      <c r="N12" s="107">
        <v>0</v>
      </c>
      <c r="O12" s="107" t="s">
        <v>134</v>
      </c>
      <c r="P12" s="107">
        <v>0</v>
      </c>
      <c r="Q12" s="107">
        <v>0</v>
      </c>
      <c r="R12" s="107">
        <v>0</v>
      </c>
      <c r="S12" s="115">
        <v>5</v>
      </c>
      <c r="T12" s="205">
        <v>2</v>
      </c>
    </row>
    <row r="13" spans="2:20" ht="17.25" x14ac:dyDescent="0.3">
      <c r="B13" s="122">
        <v>9</v>
      </c>
      <c r="C13" s="104" t="s">
        <v>129</v>
      </c>
      <c r="D13" s="89"/>
      <c r="E13" s="113">
        <v>1.5</v>
      </c>
      <c r="F13" s="105">
        <v>0</v>
      </c>
      <c r="G13" s="106">
        <f t="shared" si="0"/>
        <v>1.5</v>
      </c>
      <c r="H13" s="105">
        <v>0</v>
      </c>
      <c r="I13" s="107">
        <v>0</v>
      </c>
      <c r="J13" s="107">
        <v>0</v>
      </c>
      <c r="K13" s="107">
        <v>4</v>
      </c>
      <c r="L13" s="107">
        <v>0</v>
      </c>
      <c r="M13" s="107">
        <v>0</v>
      </c>
      <c r="N13" s="107">
        <v>0</v>
      </c>
      <c r="O13" s="107">
        <v>0</v>
      </c>
      <c r="P13" s="107">
        <v>0</v>
      </c>
      <c r="Q13" s="107">
        <v>0</v>
      </c>
      <c r="R13" s="107">
        <v>0</v>
      </c>
      <c r="S13" s="115">
        <v>33</v>
      </c>
      <c r="T13" s="205">
        <v>8</v>
      </c>
    </row>
    <row r="14" spans="2:20" ht="17.25" x14ac:dyDescent="0.3">
      <c r="B14" s="122">
        <v>10</v>
      </c>
      <c r="C14" s="104" t="s">
        <v>130</v>
      </c>
      <c r="D14" s="89"/>
      <c r="E14" s="113">
        <v>4.5</v>
      </c>
      <c r="F14" s="105">
        <v>0</v>
      </c>
      <c r="G14" s="106">
        <f t="shared" si="0"/>
        <v>4.5</v>
      </c>
      <c r="H14" s="105">
        <v>0</v>
      </c>
      <c r="I14" s="107">
        <v>0</v>
      </c>
      <c r="J14" s="107">
        <v>0</v>
      </c>
      <c r="K14" s="107">
        <v>0</v>
      </c>
      <c r="L14" s="107">
        <v>0</v>
      </c>
      <c r="M14" s="107">
        <v>0</v>
      </c>
      <c r="N14" s="107">
        <v>0</v>
      </c>
      <c r="O14" s="107" t="s">
        <v>135</v>
      </c>
      <c r="P14" s="107">
        <v>0</v>
      </c>
      <c r="Q14" s="107">
        <v>0</v>
      </c>
      <c r="R14" s="107">
        <v>0</v>
      </c>
      <c r="S14" s="115">
        <v>21</v>
      </c>
      <c r="T14" s="205">
        <v>15</v>
      </c>
    </row>
    <row r="15" spans="2:20" ht="17.25" x14ac:dyDescent="0.3">
      <c r="B15" s="122">
        <v>11</v>
      </c>
      <c r="C15" s="103" t="s">
        <v>30</v>
      </c>
      <c r="D15" s="89"/>
      <c r="E15" s="113">
        <v>11</v>
      </c>
      <c r="F15" s="105">
        <v>0</v>
      </c>
      <c r="G15" s="106">
        <f t="shared" si="0"/>
        <v>11</v>
      </c>
      <c r="H15" s="105">
        <v>2</v>
      </c>
      <c r="I15" s="107">
        <v>0</v>
      </c>
      <c r="J15" s="107">
        <v>0</v>
      </c>
      <c r="K15" s="107">
        <v>2</v>
      </c>
      <c r="L15" s="107">
        <v>0</v>
      </c>
      <c r="M15" s="107">
        <v>0</v>
      </c>
      <c r="N15" s="107">
        <v>0</v>
      </c>
      <c r="O15" s="107" t="s">
        <v>134</v>
      </c>
      <c r="P15" s="114">
        <v>1</v>
      </c>
      <c r="Q15" s="107">
        <v>0</v>
      </c>
      <c r="R15" s="114">
        <v>1</v>
      </c>
      <c r="S15" s="115">
        <v>23</v>
      </c>
      <c r="T15" s="205">
        <v>15</v>
      </c>
    </row>
    <row r="16" spans="2:20" ht="17.25" x14ac:dyDescent="0.3">
      <c r="B16" s="122">
        <v>12</v>
      </c>
      <c r="C16" s="103" t="s">
        <v>61</v>
      </c>
      <c r="D16" s="89"/>
      <c r="E16" s="113">
        <v>2</v>
      </c>
      <c r="F16" s="105">
        <v>0</v>
      </c>
      <c r="G16" s="106">
        <f t="shared" si="0"/>
        <v>2</v>
      </c>
      <c r="H16" s="105">
        <v>0</v>
      </c>
      <c r="I16" s="107">
        <v>0</v>
      </c>
      <c r="J16" s="107">
        <v>0</v>
      </c>
      <c r="K16" s="107">
        <v>2</v>
      </c>
      <c r="L16" s="107">
        <v>0</v>
      </c>
      <c r="M16" s="107">
        <v>0</v>
      </c>
      <c r="N16" s="107">
        <v>0</v>
      </c>
      <c r="O16" s="107" t="s">
        <v>136</v>
      </c>
      <c r="P16" s="107">
        <v>1</v>
      </c>
      <c r="Q16" s="107">
        <v>0</v>
      </c>
      <c r="R16" s="107">
        <v>0</v>
      </c>
      <c r="S16" s="115">
        <v>29</v>
      </c>
      <c r="T16" s="205">
        <v>25</v>
      </c>
    </row>
    <row r="17" spans="2:20" ht="18.75" customHeight="1" x14ac:dyDescent="0.3">
      <c r="B17" s="122">
        <v>13</v>
      </c>
      <c r="C17" s="103" t="s">
        <v>63</v>
      </c>
      <c r="D17" s="89"/>
      <c r="E17" s="105">
        <v>0</v>
      </c>
      <c r="F17" s="105">
        <v>0</v>
      </c>
      <c r="G17" s="106">
        <f t="shared" si="0"/>
        <v>0</v>
      </c>
      <c r="H17" s="105">
        <v>1</v>
      </c>
      <c r="I17" s="107">
        <v>0</v>
      </c>
      <c r="J17" s="107">
        <v>0</v>
      </c>
      <c r="K17" s="107">
        <v>0</v>
      </c>
      <c r="L17" s="107">
        <v>0</v>
      </c>
      <c r="M17" s="107">
        <v>0</v>
      </c>
      <c r="N17" s="107">
        <v>0</v>
      </c>
      <c r="O17" s="107" t="s">
        <v>133</v>
      </c>
      <c r="P17" s="107">
        <v>0.5</v>
      </c>
      <c r="Q17" s="107">
        <v>0</v>
      </c>
      <c r="R17" s="107">
        <v>1</v>
      </c>
      <c r="S17" s="115">
        <v>20</v>
      </c>
      <c r="T17" s="205">
        <v>10</v>
      </c>
    </row>
    <row r="18" spans="2:20" ht="17.25" x14ac:dyDescent="0.3">
      <c r="B18" s="122">
        <v>14</v>
      </c>
      <c r="C18" s="103" t="s">
        <v>44</v>
      </c>
      <c r="D18" s="89"/>
      <c r="E18" s="113">
        <v>3.5</v>
      </c>
      <c r="F18" s="105">
        <v>0</v>
      </c>
      <c r="G18" s="106">
        <f t="shared" si="0"/>
        <v>3.5</v>
      </c>
      <c r="H18" s="116">
        <v>4</v>
      </c>
      <c r="I18" s="107">
        <v>0</v>
      </c>
      <c r="J18" s="107">
        <v>0</v>
      </c>
      <c r="K18" s="107">
        <v>0</v>
      </c>
      <c r="L18" s="107">
        <v>0</v>
      </c>
      <c r="M18" s="107">
        <v>0</v>
      </c>
      <c r="N18" s="107">
        <v>0</v>
      </c>
      <c r="O18" s="107" t="s">
        <v>133</v>
      </c>
      <c r="P18" s="107">
        <v>2</v>
      </c>
      <c r="Q18" s="107">
        <v>0</v>
      </c>
      <c r="R18" s="114">
        <v>2</v>
      </c>
      <c r="S18" s="115">
        <v>24</v>
      </c>
      <c r="T18" s="205">
        <v>15</v>
      </c>
    </row>
    <row r="19" spans="2:20" ht="17.25" x14ac:dyDescent="0.3">
      <c r="B19" s="122">
        <v>15</v>
      </c>
      <c r="C19" s="103" t="s">
        <v>125</v>
      </c>
      <c r="D19" s="89"/>
      <c r="E19" s="113">
        <v>1.5</v>
      </c>
      <c r="F19" s="105">
        <v>0</v>
      </c>
      <c r="G19" s="106">
        <f t="shared" si="0"/>
        <v>1.5</v>
      </c>
      <c r="H19" s="105">
        <v>0</v>
      </c>
      <c r="I19" s="107">
        <v>0</v>
      </c>
      <c r="J19" s="107">
        <v>0</v>
      </c>
      <c r="K19" s="107">
        <v>4</v>
      </c>
      <c r="L19" s="107">
        <v>0</v>
      </c>
      <c r="M19" s="107">
        <v>0</v>
      </c>
      <c r="N19" s="107">
        <v>0</v>
      </c>
      <c r="O19" s="107">
        <v>0</v>
      </c>
      <c r="P19" s="107">
        <v>0</v>
      </c>
      <c r="Q19" s="107">
        <v>0</v>
      </c>
      <c r="R19" s="107">
        <v>0</v>
      </c>
      <c r="S19" s="115">
        <v>17</v>
      </c>
      <c r="T19" s="205">
        <v>8</v>
      </c>
    </row>
    <row r="20" spans="2:20" ht="17.25" x14ac:dyDescent="0.3">
      <c r="B20" s="122">
        <v>16</v>
      </c>
      <c r="C20" s="103" t="s">
        <v>49</v>
      </c>
      <c r="D20" s="89"/>
      <c r="E20" s="113">
        <v>4.5</v>
      </c>
      <c r="F20" s="105">
        <v>0</v>
      </c>
      <c r="G20" s="106">
        <f t="shared" si="0"/>
        <v>4.5</v>
      </c>
      <c r="H20" s="105">
        <v>0</v>
      </c>
      <c r="I20" s="107">
        <v>0</v>
      </c>
      <c r="J20" s="107">
        <v>0</v>
      </c>
      <c r="K20" s="107">
        <v>1</v>
      </c>
      <c r="L20" s="107">
        <v>0</v>
      </c>
      <c r="M20" s="107">
        <v>0</v>
      </c>
      <c r="N20" s="107">
        <v>0</v>
      </c>
      <c r="O20" s="107">
        <v>0</v>
      </c>
      <c r="P20" s="107">
        <v>0</v>
      </c>
      <c r="Q20" s="107">
        <v>0</v>
      </c>
      <c r="R20" s="107">
        <v>0</v>
      </c>
      <c r="S20" s="115">
        <v>22</v>
      </c>
      <c r="T20" s="205">
        <v>12</v>
      </c>
    </row>
    <row r="21" spans="2:20" ht="17.25" x14ac:dyDescent="0.3">
      <c r="B21" s="122">
        <v>17</v>
      </c>
      <c r="C21" s="104" t="s">
        <v>126</v>
      </c>
      <c r="D21" s="89"/>
      <c r="E21" s="105">
        <v>0</v>
      </c>
      <c r="F21" s="105">
        <v>0</v>
      </c>
      <c r="G21" s="106">
        <f t="shared" si="0"/>
        <v>0</v>
      </c>
      <c r="H21" s="105">
        <v>0</v>
      </c>
      <c r="I21" s="107">
        <v>3</v>
      </c>
      <c r="J21" s="107">
        <v>0</v>
      </c>
      <c r="K21" s="107">
        <v>7</v>
      </c>
      <c r="L21" s="107">
        <v>3</v>
      </c>
      <c r="M21" s="107">
        <v>0</v>
      </c>
      <c r="N21" s="107">
        <v>1</v>
      </c>
      <c r="O21" s="107">
        <v>0</v>
      </c>
      <c r="P21" s="107">
        <v>0</v>
      </c>
      <c r="Q21" s="107">
        <v>0</v>
      </c>
      <c r="R21" s="107">
        <v>1</v>
      </c>
      <c r="S21" s="115">
        <v>3</v>
      </c>
      <c r="T21" s="205">
        <v>1</v>
      </c>
    </row>
    <row r="22" spans="2:20" ht="17.25" x14ac:dyDescent="0.3">
      <c r="B22" s="122">
        <v>18</v>
      </c>
      <c r="C22" s="104" t="s">
        <v>77</v>
      </c>
      <c r="D22" s="89"/>
      <c r="E22" s="113">
        <v>2</v>
      </c>
      <c r="F22" s="105">
        <v>0</v>
      </c>
      <c r="G22" s="106">
        <f t="shared" si="0"/>
        <v>2</v>
      </c>
      <c r="H22" s="105">
        <v>0</v>
      </c>
      <c r="I22" s="107">
        <v>0</v>
      </c>
      <c r="J22" s="107">
        <v>0</v>
      </c>
      <c r="K22" s="107">
        <v>3</v>
      </c>
      <c r="L22" s="107">
        <v>0</v>
      </c>
      <c r="M22" s="107">
        <v>0</v>
      </c>
      <c r="N22" s="107">
        <v>0</v>
      </c>
      <c r="O22" s="107">
        <v>0</v>
      </c>
      <c r="P22" s="107">
        <v>0</v>
      </c>
      <c r="Q22" s="107">
        <v>0</v>
      </c>
      <c r="R22" s="114">
        <v>3</v>
      </c>
      <c r="S22" s="115">
        <v>35</v>
      </c>
      <c r="T22" s="205">
        <v>22</v>
      </c>
    </row>
    <row r="23" spans="2:20" ht="17.25" x14ac:dyDescent="0.3">
      <c r="B23" s="122">
        <v>19</v>
      </c>
      <c r="C23" s="104" t="s">
        <v>112</v>
      </c>
      <c r="D23" s="89"/>
      <c r="E23" s="113">
        <v>1</v>
      </c>
      <c r="F23" s="105">
        <v>0</v>
      </c>
      <c r="G23" s="106">
        <f t="shared" si="0"/>
        <v>1</v>
      </c>
      <c r="H23" s="105">
        <v>0</v>
      </c>
      <c r="I23" s="107">
        <v>0</v>
      </c>
      <c r="J23" s="107">
        <v>0</v>
      </c>
      <c r="K23" s="107">
        <v>8</v>
      </c>
      <c r="L23" s="107">
        <v>0</v>
      </c>
      <c r="M23" s="107">
        <v>0</v>
      </c>
      <c r="N23" s="107">
        <v>0</v>
      </c>
      <c r="O23" s="107">
        <v>0</v>
      </c>
      <c r="P23" s="107">
        <v>0</v>
      </c>
      <c r="Q23" s="107">
        <v>0</v>
      </c>
      <c r="R23" s="107">
        <v>0</v>
      </c>
      <c r="S23" s="115">
        <v>3</v>
      </c>
      <c r="T23" s="205">
        <v>1</v>
      </c>
    </row>
    <row r="24" spans="2:20" s="91" customFormat="1" ht="17.25" x14ac:dyDescent="0.3">
      <c r="B24" s="122">
        <v>20</v>
      </c>
      <c r="C24" s="208" t="s">
        <v>113</v>
      </c>
      <c r="D24" s="125"/>
      <c r="E24" s="105">
        <v>3</v>
      </c>
      <c r="F24" s="105">
        <v>0</v>
      </c>
      <c r="G24" s="106">
        <f>SUM($E24:$F24)</f>
        <v>3</v>
      </c>
      <c r="H24" s="105">
        <v>0</v>
      </c>
      <c r="I24" s="107">
        <v>0</v>
      </c>
      <c r="J24" s="107">
        <v>0</v>
      </c>
      <c r="K24" s="107">
        <v>0</v>
      </c>
      <c r="L24" s="107">
        <v>0</v>
      </c>
      <c r="M24" s="107">
        <v>0</v>
      </c>
      <c r="N24" s="107">
        <v>0</v>
      </c>
      <c r="O24" s="107">
        <v>0</v>
      </c>
      <c r="P24" s="107">
        <v>0</v>
      </c>
      <c r="Q24" s="107">
        <v>0</v>
      </c>
      <c r="R24" s="107">
        <v>0</v>
      </c>
      <c r="S24" s="212">
        <v>14</v>
      </c>
      <c r="T24" s="213">
        <v>5</v>
      </c>
    </row>
    <row r="25" spans="2:20" s="91" customFormat="1" ht="17.25" x14ac:dyDescent="0.3">
      <c r="B25" s="122">
        <v>21</v>
      </c>
      <c r="C25" s="208" t="s">
        <v>137</v>
      </c>
      <c r="D25" s="125"/>
      <c r="E25" s="105">
        <v>0</v>
      </c>
      <c r="F25" s="105">
        <v>0</v>
      </c>
      <c r="G25" s="106">
        <f t="shared" si="0"/>
        <v>0</v>
      </c>
      <c r="H25" s="105">
        <v>0</v>
      </c>
      <c r="I25" s="107">
        <v>37</v>
      </c>
      <c r="J25" s="107">
        <v>0</v>
      </c>
      <c r="K25" s="107">
        <v>0</v>
      </c>
      <c r="L25" s="107">
        <v>54</v>
      </c>
      <c r="M25" s="107">
        <v>2</v>
      </c>
      <c r="N25" s="107">
        <v>4</v>
      </c>
      <c r="O25" s="107">
        <v>0</v>
      </c>
      <c r="P25" s="107">
        <v>1</v>
      </c>
      <c r="Q25" s="107">
        <v>0</v>
      </c>
      <c r="R25" s="107">
        <v>0</v>
      </c>
      <c r="S25" s="227">
        <v>0</v>
      </c>
      <c r="T25" s="213">
        <v>0</v>
      </c>
    </row>
    <row r="26" spans="2:20" s="91" customFormat="1" ht="17.25" x14ac:dyDescent="0.3">
      <c r="B26" s="122">
        <v>22</v>
      </c>
      <c r="C26" s="214" t="s">
        <v>114</v>
      </c>
      <c r="D26" s="89"/>
      <c r="E26" s="105">
        <v>0</v>
      </c>
      <c r="F26" s="105">
        <v>0</v>
      </c>
      <c r="G26" s="106">
        <f t="shared" si="0"/>
        <v>0</v>
      </c>
      <c r="H26" s="105">
        <v>0</v>
      </c>
      <c r="I26" s="107">
        <v>0</v>
      </c>
      <c r="J26" s="107">
        <v>0</v>
      </c>
      <c r="K26" s="107">
        <v>4</v>
      </c>
      <c r="L26" s="107">
        <v>0</v>
      </c>
      <c r="M26" s="107">
        <v>0</v>
      </c>
      <c r="N26" s="107">
        <v>0</v>
      </c>
      <c r="O26" s="107" t="s">
        <v>133</v>
      </c>
      <c r="P26" s="107">
        <v>0.5</v>
      </c>
      <c r="Q26" s="107">
        <v>0</v>
      </c>
      <c r="R26" s="107">
        <v>1</v>
      </c>
      <c r="S26" s="205">
        <v>10</v>
      </c>
      <c r="T26" s="205">
        <v>4</v>
      </c>
    </row>
    <row r="27" spans="2:20" s="91" customFormat="1" ht="17.25" x14ac:dyDescent="0.3">
      <c r="B27" s="122">
        <v>23</v>
      </c>
      <c r="C27" s="214" t="s">
        <v>138</v>
      </c>
      <c r="D27" s="89"/>
      <c r="E27" s="105">
        <v>0</v>
      </c>
      <c r="F27" s="105">
        <v>0</v>
      </c>
      <c r="G27" s="106">
        <f t="shared" si="0"/>
        <v>0</v>
      </c>
      <c r="H27" s="105">
        <v>0</v>
      </c>
      <c r="I27" s="107">
        <v>23</v>
      </c>
      <c r="J27" s="107">
        <v>0</v>
      </c>
      <c r="K27" s="107">
        <v>0</v>
      </c>
      <c r="L27" s="107">
        <v>10</v>
      </c>
      <c r="M27" s="107">
        <v>0</v>
      </c>
      <c r="N27" s="107">
        <v>0</v>
      </c>
      <c r="O27" s="107">
        <v>0</v>
      </c>
      <c r="P27" s="107">
        <v>0</v>
      </c>
      <c r="Q27" s="107">
        <v>0</v>
      </c>
      <c r="R27" s="107">
        <v>0</v>
      </c>
      <c r="S27" s="205">
        <v>0</v>
      </c>
      <c r="T27" s="205">
        <v>0</v>
      </c>
    </row>
    <row r="28" spans="2:20" s="91" customFormat="1" ht="17.25" customHeight="1" x14ac:dyDescent="0.3">
      <c r="B28" s="122">
        <v>24</v>
      </c>
      <c r="C28" s="214" t="s">
        <v>139</v>
      </c>
      <c r="D28" s="89"/>
      <c r="E28" s="105">
        <v>0</v>
      </c>
      <c r="F28" s="105">
        <v>0</v>
      </c>
      <c r="G28" s="106">
        <f t="shared" si="0"/>
        <v>0</v>
      </c>
      <c r="H28" s="105">
        <v>0</v>
      </c>
      <c r="I28" s="107">
        <v>23</v>
      </c>
      <c r="J28" s="107">
        <v>0</v>
      </c>
      <c r="K28" s="107">
        <v>0</v>
      </c>
      <c r="L28" s="107">
        <v>23</v>
      </c>
      <c r="M28" s="107">
        <v>0</v>
      </c>
      <c r="N28" s="107">
        <v>0</v>
      </c>
      <c r="O28" s="107">
        <v>0</v>
      </c>
      <c r="P28" s="107">
        <v>0</v>
      </c>
      <c r="Q28" s="107">
        <v>0</v>
      </c>
      <c r="R28" s="107">
        <v>0</v>
      </c>
      <c r="S28" s="205">
        <v>0</v>
      </c>
      <c r="T28" s="205">
        <v>0</v>
      </c>
    </row>
    <row r="29" spans="2:20" s="91" customFormat="1" ht="17.25" x14ac:dyDescent="0.3">
      <c r="B29" s="122">
        <v>25</v>
      </c>
      <c r="C29" s="214" t="s">
        <v>140</v>
      </c>
      <c r="D29" s="89"/>
      <c r="E29" s="105">
        <v>0</v>
      </c>
      <c r="F29" s="105">
        <v>0</v>
      </c>
      <c r="G29" s="106">
        <f t="shared" si="0"/>
        <v>0</v>
      </c>
      <c r="H29" s="105">
        <v>0</v>
      </c>
      <c r="I29" s="107">
        <v>25</v>
      </c>
      <c r="J29" s="107">
        <v>0</v>
      </c>
      <c r="K29" s="107">
        <v>0</v>
      </c>
      <c r="L29" s="107">
        <v>25</v>
      </c>
      <c r="M29" s="107">
        <v>0</v>
      </c>
      <c r="N29" s="107">
        <v>119</v>
      </c>
      <c r="O29" s="107">
        <v>0</v>
      </c>
      <c r="P29" s="107">
        <v>0</v>
      </c>
      <c r="Q29" s="107">
        <v>0</v>
      </c>
      <c r="R29" s="107">
        <v>0</v>
      </c>
      <c r="S29" s="205">
        <v>0</v>
      </c>
      <c r="T29" s="205">
        <v>0</v>
      </c>
    </row>
    <row r="30" spans="2:20" s="91" customFormat="1" ht="17.25" x14ac:dyDescent="0.3">
      <c r="B30" s="122">
        <v>26</v>
      </c>
      <c r="C30" s="214" t="s">
        <v>115</v>
      </c>
      <c r="D30" s="126"/>
      <c r="E30" s="105">
        <v>0</v>
      </c>
      <c r="F30" s="105">
        <v>0</v>
      </c>
      <c r="G30" s="106">
        <f t="shared" si="0"/>
        <v>0</v>
      </c>
      <c r="H30" s="105">
        <v>0</v>
      </c>
      <c r="I30" s="107">
        <v>5</v>
      </c>
      <c r="J30" s="107">
        <v>0</v>
      </c>
      <c r="K30" s="107">
        <v>0</v>
      </c>
      <c r="L30" s="107">
        <v>0</v>
      </c>
      <c r="M30" s="107">
        <v>0</v>
      </c>
      <c r="N30" s="107">
        <v>0</v>
      </c>
      <c r="O30" s="107">
        <v>0</v>
      </c>
      <c r="P30" s="119">
        <v>1</v>
      </c>
      <c r="Q30" s="107">
        <v>0</v>
      </c>
      <c r="R30" s="107">
        <v>0</v>
      </c>
      <c r="S30" s="205">
        <v>0</v>
      </c>
      <c r="T30" s="205">
        <v>0</v>
      </c>
    </row>
    <row r="31" spans="2:20" s="91" customFormat="1" ht="17.25" hidden="1" x14ac:dyDescent="0.3">
      <c r="B31" s="122">
        <v>27</v>
      </c>
      <c r="C31" s="214" t="s">
        <v>116</v>
      </c>
      <c r="D31" s="126"/>
      <c r="E31" s="105"/>
      <c r="F31" s="105">
        <v>0</v>
      </c>
      <c r="G31" s="106">
        <f t="shared" si="0"/>
        <v>0</v>
      </c>
      <c r="H31" s="105">
        <v>0</v>
      </c>
      <c r="I31" s="107">
        <v>0</v>
      </c>
      <c r="J31" s="107">
        <v>0</v>
      </c>
      <c r="K31" s="107"/>
      <c r="L31" s="107">
        <v>0</v>
      </c>
      <c r="M31" s="107">
        <v>0</v>
      </c>
      <c r="N31" s="107">
        <v>0</v>
      </c>
      <c r="O31" s="107">
        <v>0</v>
      </c>
      <c r="P31" s="107"/>
      <c r="Q31" s="107">
        <v>0</v>
      </c>
      <c r="R31" s="107">
        <v>0</v>
      </c>
      <c r="S31" s="205"/>
      <c r="T31" s="205"/>
    </row>
    <row r="32" spans="2:20" s="91" customFormat="1" ht="17.25" x14ac:dyDescent="0.3">
      <c r="B32" s="122">
        <v>28</v>
      </c>
      <c r="C32" s="214" t="s">
        <v>120</v>
      </c>
      <c r="D32" s="126"/>
      <c r="E32" s="105">
        <v>0</v>
      </c>
      <c r="F32" s="105">
        <v>0</v>
      </c>
      <c r="G32" s="106">
        <f t="shared" si="0"/>
        <v>0</v>
      </c>
      <c r="H32" s="105">
        <v>0</v>
      </c>
      <c r="I32" s="107">
        <v>0</v>
      </c>
      <c r="J32" s="107">
        <v>0</v>
      </c>
      <c r="K32" s="107">
        <v>0</v>
      </c>
      <c r="L32" s="107">
        <v>0</v>
      </c>
      <c r="M32" s="107">
        <v>0</v>
      </c>
      <c r="N32" s="107">
        <v>0</v>
      </c>
      <c r="O32" s="107">
        <v>0</v>
      </c>
      <c r="P32" s="107">
        <v>0</v>
      </c>
      <c r="Q32" s="107">
        <v>0</v>
      </c>
      <c r="R32" s="107">
        <v>0</v>
      </c>
      <c r="S32" s="120">
        <v>0</v>
      </c>
      <c r="T32" s="205">
        <v>0</v>
      </c>
    </row>
    <row r="33" spans="2:20" s="91" customFormat="1" ht="17.25" x14ac:dyDescent="0.3">
      <c r="B33" s="122">
        <v>29</v>
      </c>
      <c r="C33" s="214" t="s">
        <v>117</v>
      </c>
      <c r="D33" s="126"/>
      <c r="E33" s="105">
        <v>0</v>
      </c>
      <c r="F33" s="105">
        <v>0</v>
      </c>
      <c r="G33" s="106">
        <f t="shared" si="0"/>
        <v>0</v>
      </c>
      <c r="H33" s="105">
        <v>0</v>
      </c>
      <c r="I33" s="107">
        <v>0</v>
      </c>
      <c r="J33" s="107">
        <v>0</v>
      </c>
      <c r="K33" s="107">
        <v>0</v>
      </c>
      <c r="L33" s="107">
        <v>0</v>
      </c>
      <c r="M33" s="107">
        <v>0</v>
      </c>
      <c r="N33" s="107">
        <v>0</v>
      </c>
      <c r="O33" s="107">
        <v>0</v>
      </c>
      <c r="P33" s="107">
        <v>0</v>
      </c>
      <c r="Q33" s="107">
        <v>0</v>
      </c>
      <c r="R33" s="107">
        <v>0</v>
      </c>
      <c r="S33" s="120">
        <v>0</v>
      </c>
      <c r="T33" s="205">
        <v>0</v>
      </c>
    </row>
    <row r="34" spans="2:20" s="91" customFormat="1" ht="17.25" x14ac:dyDescent="0.3">
      <c r="B34" s="122">
        <v>30</v>
      </c>
      <c r="C34" s="214" t="s">
        <v>116</v>
      </c>
      <c r="D34" s="126"/>
      <c r="E34" s="105">
        <v>0</v>
      </c>
      <c r="F34" s="105">
        <v>0</v>
      </c>
      <c r="G34" s="106">
        <f t="shared" si="0"/>
        <v>0</v>
      </c>
      <c r="H34" s="105">
        <v>0</v>
      </c>
      <c r="I34" s="107">
        <v>0</v>
      </c>
      <c r="J34" s="107">
        <v>0</v>
      </c>
      <c r="K34" s="107">
        <v>0</v>
      </c>
      <c r="L34" s="107">
        <v>0</v>
      </c>
      <c r="M34" s="107">
        <v>0</v>
      </c>
      <c r="N34" s="107">
        <v>0</v>
      </c>
      <c r="O34" s="107">
        <v>0</v>
      </c>
      <c r="P34" s="107">
        <v>0</v>
      </c>
      <c r="Q34" s="107">
        <v>0</v>
      </c>
      <c r="R34" s="107">
        <v>0</v>
      </c>
      <c r="S34" s="120">
        <v>1</v>
      </c>
      <c r="T34" s="205">
        <v>0</v>
      </c>
    </row>
    <row r="35" spans="2:20" ht="15.75" thickBot="1" x14ac:dyDescent="0.25">
      <c r="B35" s="93"/>
      <c r="C35" s="94" t="s">
        <v>17</v>
      </c>
      <c r="D35" s="95">
        <f>SUM(D5:D24)</f>
        <v>0</v>
      </c>
      <c r="E35" s="121">
        <f>SUM(E5:E34)</f>
        <v>56</v>
      </c>
      <c r="F35" s="121">
        <f>SUM(F5:F31)</f>
        <v>0</v>
      </c>
      <c r="G35" s="121">
        <f t="shared" si="0"/>
        <v>56</v>
      </c>
      <c r="H35" s="121">
        <f t="shared" ref="H35:Q35" si="1">SUM(H5:H31)</f>
        <v>33</v>
      </c>
      <c r="I35" s="121">
        <f t="shared" si="1"/>
        <v>116</v>
      </c>
      <c r="J35" s="121">
        <f t="shared" si="1"/>
        <v>0</v>
      </c>
      <c r="K35" s="121">
        <f>SUM(K5:K34)</f>
        <v>45</v>
      </c>
      <c r="L35" s="121">
        <f t="shared" si="1"/>
        <v>116</v>
      </c>
      <c r="M35" s="121">
        <f>SUM(M5:M31)</f>
        <v>2</v>
      </c>
      <c r="N35" s="121">
        <f>SUM(N5:N31)</f>
        <v>124</v>
      </c>
      <c r="O35" s="121">
        <f>SUM(O5:O31)</f>
        <v>0</v>
      </c>
      <c r="P35" s="121">
        <f t="shared" si="1"/>
        <v>8.5</v>
      </c>
      <c r="Q35" s="121">
        <f t="shared" si="1"/>
        <v>0</v>
      </c>
      <c r="R35" s="121">
        <f>SUM(R5:R34)</f>
        <v>22</v>
      </c>
      <c r="S35" s="121">
        <f>SUM(S5:S34)</f>
        <v>425</v>
      </c>
      <c r="T35" s="121">
        <f>SUM(T5:T34)</f>
        <v>234</v>
      </c>
    </row>
    <row r="36" spans="2:20" ht="15" x14ac:dyDescent="0.2">
      <c r="B36" s="96"/>
      <c r="C36" s="96"/>
      <c r="D36" s="97"/>
      <c r="E36" s="98"/>
      <c r="F36" s="98"/>
      <c r="G36" s="98"/>
      <c r="H36" s="98"/>
      <c r="I36" s="96"/>
      <c r="J36" s="98"/>
      <c r="K36" s="98"/>
      <c r="L36" s="98"/>
      <c r="M36" s="98"/>
      <c r="N36" s="98"/>
      <c r="O36" s="98"/>
      <c r="P36" s="98"/>
      <c r="Q36" s="98"/>
      <c r="R36" s="98"/>
      <c r="S36" s="96"/>
      <c r="T36" s="96"/>
    </row>
    <row r="38" spans="2:20" x14ac:dyDescent="0.2">
      <c r="L38" s="91"/>
      <c r="M38" s="84"/>
      <c r="N38" s="84"/>
      <c r="O38" s="91"/>
      <c r="S38" s="100"/>
      <c r="T38" s="100"/>
    </row>
    <row r="39" spans="2:20" x14ac:dyDescent="0.2">
      <c r="D39" s="91"/>
      <c r="E39" s="99"/>
      <c r="I39" s="86"/>
      <c r="J39" s="91"/>
      <c r="K39" s="91"/>
      <c r="S39" s="86"/>
    </row>
  </sheetData>
  <mergeCells count="21">
    <mergeCell ref="E3:E4"/>
    <mergeCell ref="F3:F4"/>
    <mergeCell ref="G3:G4"/>
    <mergeCell ref="H3:H4"/>
    <mergeCell ref="M38:N38"/>
    <mergeCell ref="N2:N4"/>
    <mergeCell ref="O2:O4"/>
    <mergeCell ref="P2:Q3"/>
    <mergeCell ref="R2:R4"/>
    <mergeCell ref="S2:S4"/>
    <mergeCell ref="T2:T4"/>
    <mergeCell ref="B1:T1"/>
    <mergeCell ref="B2:B4"/>
    <mergeCell ref="C2:C4"/>
    <mergeCell ref="D2:D4"/>
    <mergeCell ref="E2:H2"/>
    <mergeCell ref="I2:I4"/>
    <mergeCell ref="J2:J4"/>
    <mergeCell ref="K2:K4"/>
    <mergeCell ref="L2:L4"/>
    <mergeCell ref="M2:M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D77B6-6448-464C-9F4C-B5756F141176}">
  <dimension ref="B1:Y40"/>
  <sheetViews>
    <sheetView zoomScale="85" zoomScaleNormal="85" workbookViewId="0">
      <selection sqref="A1:XFD1048576"/>
    </sheetView>
  </sheetViews>
  <sheetFormatPr defaultRowHeight="14.25" x14ac:dyDescent="0.2"/>
  <cols>
    <col min="1" max="1" width="9.140625" style="86"/>
    <col min="2" max="2" width="9.140625" style="91"/>
    <col min="3" max="3" width="20.42578125" style="91" customWidth="1"/>
    <col min="4" max="4" width="15.140625" style="99" hidden="1" customWidth="1"/>
    <col min="5" max="5" width="20.7109375" style="86" customWidth="1"/>
    <col min="6" max="6" width="11.85546875" style="86" hidden="1" customWidth="1"/>
    <col min="7" max="8" width="10.42578125" style="86" customWidth="1"/>
    <col min="9" max="9" width="13.42578125" style="86" customWidth="1"/>
    <col min="10" max="10" width="19.28515625" style="91" customWidth="1"/>
    <col min="11" max="11" width="19.28515625" style="86" customWidth="1"/>
    <col min="12" max="12" width="11.28515625" style="86" hidden="1" customWidth="1"/>
    <col min="13" max="14" width="11.42578125" style="86" customWidth="1"/>
    <col min="15" max="15" width="7.28515625" style="86" customWidth="1"/>
    <col min="16" max="18" width="12.7109375" style="86" customWidth="1"/>
    <col min="19" max="19" width="16.140625" style="86" customWidth="1"/>
    <col min="20" max="20" width="8" style="86" customWidth="1"/>
    <col min="21" max="21" width="11" style="86" customWidth="1"/>
    <col min="22" max="22" width="16" style="91" customWidth="1"/>
    <col min="23" max="23" width="12.5703125" style="91" customWidth="1"/>
    <col min="24" max="24" width="14.140625" style="86" bestFit="1" customWidth="1"/>
    <col min="25" max="16384" width="9.140625" style="86"/>
  </cols>
  <sheetData>
    <row r="1" spans="2:25" ht="24" thickBot="1" x14ac:dyDescent="0.4">
      <c r="B1" s="228" t="s">
        <v>141</v>
      </c>
      <c r="C1" s="229"/>
      <c r="D1" s="229"/>
      <c r="E1" s="229"/>
      <c r="F1" s="229"/>
      <c r="G1" s="229"/>
      <c r="H1" s="229"/>
      <c r="I1" s="229"/>
      <c r="J1" s="229"/>
      <c r="K1" s="229"/>
      <c r="L1" s="229"/>
      <c r="M1" s="229"/>
      <c r="N1" s="229"/>
      <c r="O1" s="229"/>
      <c r="P1" s="229"/>
      <c r="Q1" s="229"/>
      <c r="R1" s="229"/>
      <c r="S1" s="229"/>
      <c r="T1" s="229"/>
      <c r="U1" s="229"/>
      <c r="V1" s="229"/>
      <c r="W1" s="230"/>
      <c r="X1" s="231" t="s">
        <v>142</v>
      </c>
      <c r="Y1" s="84"/>
    </row>
    <row r="2" spans="2:25" ht="15" customHeight="1" thickBot="1" x14ac:dyDescent="0.25">
      <c r="B2" s="232" t="s">
        <v>1</v>
      </c>
      <c r="C2" s="233" t="s">
        <v>2</v>
      </c>
      <c r="D2" s="184" t="s">
        <v>66</v>
      </c>
      <c r="E2" s="168" t="s">
        <v>3</v>
      </c>
      <c r="F2" s="169"/>
      <c r="G2" s="169"/>
      <c r="H2" s="169"/>
      <c r="I2" s="170"/>
      <c r="J2" s="234" t="s">
        <v>4</v>
      </c>
      <c r="K2" s="165" t="s">
        <v>143</v>
      </c>
      <c r="L2" s="165" t="s">
        <v>6</v>
      </c>
      <c r="M2" s="181" t="s">
        <v>7</v>
      </c>
      <c r="N2" s="235" t="s">
        <v>8</v>
      </c>
      <c r="O2" s="236"/>
      <c r="P2" s="181" t="s">
        <v>9</v>
      </c>
      <c r="Q2" s="157"/>
      <c r="R2" s="157"/>
      <c r="S2" s="165" t="s">
        <v>10</v>
      </c>
      <c r="T2" s="83" t="s">
        <v>11</v>
      </c>
      <c r="U2" s="181" t="s">
        <v>12</v>
      </c>
      <c r="V2" s="237" t="s">
        <v>13</v>
      </c>
      <c r="W2" s="238" t="s">
        <v>14</v>
      </c>
      <c r="X2" s="231"/>
      <c r="Y2" s="84"/>
    </row>
    <row r="3" spans="2:25" ht="48" customHeight="1" thickBot="1" x14ac:dyDescent="0.25">
      <c r="B3" s="239"/>
      <c r="C3" s="240"/>
      <c r="D3" s="185"/>
      <c r="E3" s="177" t="s">
        <v>18</v>
      </c>
      <c r="F3" s="177" t="s">
        <v>68</v>
      </c>
      <c r="G3" s="179" t="s">
        <v>20</v>
      </c>
      <c r="H3" s="160" t="s">
        <v>144</v>
      </c>
      <c r="I3" s="177" t="s">
        <v>145</v>
      </c>
      <c r="J3" s="241"/>
      <c r="K3" s="166"/>
      <c r="L3" s="166"/>
      <c r="M3" s="182"/>
      <c r="N3" s="242"/>
      <c r="O3" s="243"/>
      <c r="P3" s="182"/>
      <c r="Q3" s="158" t="s">
        <v>146</v>
      </c>
      <c r="R3" s="158" t="s">
        <v>147</v>
      </c>
      <c r="S3" s="166"/>
      <c r="T3" s="244"/>
      <c r="U3" s="182"/>
      <c r="V3" s="245"/>
      <c r="W3" s="246"/>
      <c r="X3" s="231"/>
      <c r="Y3" s="84"/>
    </row>
    <row r="4" spans="2:25" ht="16.5" customHeight="1" thickBot="1" x14ac:dyDescent="0.25">
      <c r="B4" s="247"/>
      <c r="C4" s="248"/>
      <c r="D4" s="186"/>
      <c r="E4" s="178"/>
      <c r="F4" s="178"/>
      <c r="G4" s="180"/>
      <c r="H4" s="161"/>
      <c r="I4" s="178"/>
      <c r="J4" s="249"/>
      <c r="K4" s="167"/>
      <c r="L4" s="167"/>
      <c r="M4" s="183"/>
      <c r="N4" s="250"/>
      <c r="O4" s="251"/>
      <c r="P4" s="183"/>
      <c r="Q4" s="159"/>
      <c r="R4" s="159"/>
      <c r="S4" s="167"/>
      <c r="T4" s="124" t="s">
        <v>69</v>
      </c>
      <c r="U4" s="183"/>
      <c r="V4" s="252"/>
      <c r="W4" s="253"/>
      <c r="X4" s="231"/>
      <c r="Y4" s="84"/>
    </row>
    <row r="5" spans="2:25" ht="16.5" customHeight="1" thickBot="1" x14ac:dyDescent="0.25">
      <c r="B5" s="254"/>
      <c r="C5" s="255"/>
      <c r="D5" s="256"/>
      <c r="E5" s="257"/>
      <c r="F5" s="257"/>
      <c r="G5" s="258"/>
      <c r="H5" s="258"/>
      <c r="I5" s="257"/>
      <c r="J5" s="259"/>
      <c r="K5" s="156"/>
      <c r="L5" s="156"/>
      <c r="M5" s="158"/>
      <c r="N5" s="124" t="s">
        <v>148</v>
      </c>
      <c r="O5" s="260" t="s">
        <v>149</v>
      </c>
      <c r="P5" s="158"/>
      <c r="Q5" s="158"/>
      <c r="R5" s="158"/>
      <c r="S5" s="156"/>
      <c r="T5" s="158"/>
      <c r="U5" s="158"/>
      <c r="V5" s="261"/>
      <c r="W5" s="262"/>
      <c r="X5" s="231" t="s">
        <v>150</v>
      </c>
    </row>
    <row r="6" spans="2:25" ht="22.5" customHeight="1" x14ac:dyDescent="0.2">
      <c r="B6" s="263">
        <v>1</v>
      </c>
      <c r="C6" s="102" t="s">
        <v>35</v>
      </c>
      <c r="D6" s="88"/>
      <c r="E6" s="105">
        <v>13</v>
      </c>
      <c r="F6" s="105"/>
      <c r="G6" s="106">
        <f>SUM($E6:$F6)</f>
        <v>13</v>
      </c>
      <c r="H6" s="105">
        <v>7</v>
      </c>
      <c r="I6" s="105">
        <v>10</v>
      </c>
      <c r="J6" s="107">
        <v>6</v>
      </c>
      <c r="K6" s="107">
        <v>1</v>
      </c>
      <c r="L6" s="107">
        <v>3</v>
      </c>
      <c r="M6" s="107">
        <v>2</v>
      </c>
      <c r="N6" s="264">
        <v>3</v>
      </c>
      <c r="O6" s="265">
        <v>15</v>
      </c>
      <c r="P6" s="107">
        <v>8</v>
      </c>
      <c r="Q6" s="107">
        <v>6</v>
      </c>
      <c r="R6" s="107">
        <v>11</v>
      </c>
      <c r="S6" s="107" t="s">
        <v>151</v>
      </c>
      <c r="T6" s="107">
        <v>0.5</v>
      </c>
      <c r="U6" s="107">
        <v>0</v>
      </c>
      <c r="V6" s="108">
        <v>38</v>
      </c>
      <c r="W6" s="266">
        <v>3</v>
      </c>
      <c r="X6" s="231"/>
    </row>
    <row r="7" spans="2:25" ht="18.75" customHeight="1" x14ac:dyDescent="0.3">
      <c r="B7" s="263">
        <v>2</v>
      </c>
      <c r="C7" s="203" t="s">
        <v>104</v>
      </c>
      <c r="D7" s="89"/>
      <c r="E7" s="113">
        <v>4</v>
      </c>
      <c r="F7" s="105"/>
      <c r="G7" s="106">
        <f t="shared" ref="G7:G36" si="0">SUM($E7:$F7)</f>
        <v>4</v>
      </c>
      <c r="H7" s="204">
        <v>3</v>
      </c>
      <c r="I7" s="204">
        <v>4</v>
      </c>
      <c r="J7" s="107">
        <v>16</v>
      </c>
      <c r="K7" s="107">
        <v>0</v>
      </c>
      <c r="L7" s="107">
        <v>0</v>
      </c>
      <c r="M7" s="107">
        <v>0</v>
      </c>
      <c r="N7" s="264"/>
      <c r="O7" s="267">
        <v>19</v>
      </c>
      <c r="P7" s="107" t="s">
        <v>152</v>
      </c>
      <c r="Q7" s="107" t="s">
        <v>152</v>
      </c>
      <c r="R7" s="107" t="s">
        <v>152</v>
      </c>
      <c r="S7" s="107" t="s">
        <v>151</v>
      </c>
      <c r="T7" s="107">
        <v>0</v>
      </c>
      <c r="U7" s="114">
        <v>11</v>
      </c>
      <c r="V7" s="115">
        <v>40</v>
      </c>
      <c r="W7" s="268">
        <v>10</v>
      </c>
      <c r="X7" s="86" t="s">
        <v>153</v>
      </c>
    </row>
    <row r="8" spans="2:25" ht="17.25" customHeight="1" x14ac:dyDescent="0.3">
      <c r="B8" s="263">
        <v>3</v>
      </c>
      <c r="C8" s="103" t="s">
        <v>105</v>
      </c>
      <c r="D8" s="89"/>
      <c r="E8" s="113">
        <v>3</v>
      </c>
      <c r="F8" s="105"/>
      <c r="G8" s="106">
        <f t="shared" si="0"/>
        <v>3</v>
      </c>
      <c r="H8" s="105">
        <v>2</v>
      </c>
      <c r="I8" s="105">
        <v>0</v>
      </c>
      <c r="J8" s="107">
        <v>2</v>
      </c>
      <c r="K8" s="107">
        <v>0</v>
      </c>
      <c r="L8" s="107">
        <v>0</v>
      </c>
      <c r="M8" s="107">
        <v>0</v>
      </c>
      <c r="N8" s="264"/>
      <c r="O8" s="267">
        <v>16</v>
      </c>
      <c r="P8" s="107" t="s">
        <v>152</v>
      </c>
      <c r="Q8" s="107" t="s">
        <v>152</v>
      </c>
      <c r="R8" s="107" t="s">
        <v>152</v>
      </c>
      <c r="S8" s="107"/>
      <c r="T8" s="107">
        <v>2</v>
      </c>
      <c r="U8" s="114">
        <v>11</v>
      </c>
      <c r="V8" s="115">
        <v>50</v>
      </c>
      <c r="W8" s="268">
        <v>11</v>
      </c>
      <c r="X8" s="86" t="s">
        <v>154</v>
      </c>
    </row>
    <row r="9" spans="2:25" s="276" customFormat="1" ht="17.25" customHeight="1" x14ac:dyDescent="0.3">
      <c r="B9" s="107">
        <v>4</v>
      </c>
      <c r="C9" s="269" t="s">
        <v>107</v>
      </c>
      <c r="D9" s="270"/>
      <c r="E9" s="271">
        <v>6</v>
      </c>
      <c r="F9" s="272"/>
      <c r="G9" s="273">
        <f t="shared" si="0"/>
        <v>6</v>
      </c>
      <c r="H9" s="274">
        <v>1</v>
      </c>
      <c r="I9" s="274">
        <v>12</v>
      </c>
      <c r="J9" s="107">
        <v>5</v>
      </c>
      <c r="K9" s="107">
        <v>1</v>
      </c>
      <c r="L9" s="107">
        <v>0</v>
      </c>
      <c r="M9" s="107">
        <v>19</v>
      </c>
      <c r="N9" s="264">
        <v>4</v>
      </c>
      <c r="O9" s="267">
        <v>14</v>
      </c>
      <c r="P9" s="107" t="s">
        <v>152</v>
      </c>
      <c r="Q9" s="107" t="s">
        <v>152</v>
      </c>
      <c r="R9" s="107" t="s">
        <v>152</v>
      </c>
      <c r="S9" s="107" t="s">
        <v>64</v>
      </c>
      <c r="T9" s="107">
        <v>1</v>
      </c>
      <c r="U9" s="114">
        <v>3</v>
      </c>
      <c r="V9" s="275">
        <v>57</v>
      </c>
      <c r="W9" s="274">
        <v>17</v>
      </c>
      <c r="X9" s="276" t="s">
        <v>155</v>
      </c>
    </row>
    <row r="10" spans="2:25" s="276" customFormat="1" ht="17.25" customHeight="1" x14ac:dyDescent="0.3">
      <c r="B10" s="107">
        <v>5</v>
      </c>
      <c r="C10" s="269" t="s">
        <v>55</v>
      </c>
      <c r="D10" s="270"/>
      <c r="E10" s="272">
        <v>6</v>
      </c>
      <c r="F10" s="272"/>
      <c r="G10" s="273">
        <f t="shared" si="0"/>
        <v>6</v>
      </c>
      <c r="H10" s="272">
        <v>0</v>
      </c>
      <c r="I10" s="272">
        <v>6</v>
      </c>
      <c r="J10" s="107">
        <v>0</v>
      </c>
      <c r="K10" s="107">
        <v>0</v>
      </c>
      <c r="L10" s="107">
        <v>0</v>
      </c>
      <c r="M10" s="107">
        <v>0</v>
      </c>
      <c r="N10" s="264"/>
      <c r="O10" s="267">
        <v>7</v>
      </c>
      <c r="P10" s="107" t="s">
        <v>152</v>
      </c>
      <c r="Q10" s="107" t="s">
        <v>152</v>
      </c>
      <c r="R10" s="107" t="s">
        <v>152</v>
      </c>
      <c r="S10" s="107" t="s">
        <v>64</v>
      </c>
      <c r="T10" s="107">
        <v>1.5</v>
      </c>
      <c r="U10" s="107">
        <v>3</v>
      </c>
      <c r="V10" s="275">
        <v>43</v>
      </c>
      <c r="W10" s="274">
        <v>7</v>
      </c>
      <c r="X10" s="276" t="s">
        <v>156</v>
      </c>
    </row>
    <row r="11" spans="2:25" ht="17.25" customHeight="1" x14ac:dyDescent="0.3">
      <c r="B11" s="263">
        <v>6</v>
      </c>
      <c r="C11" s="103" t="s">
        <v>62</v>
      </c>
      <c r="D11" s="89"/>
      <c r="E11" s="105">
        <v>2</v>
      </c>
      <c r="F11" s="105"/>
      <c r="G11" s="106">
        <f t="shared" si="0"/>
        <v>2</v>
      </c>
      <c r="H11" s="105" t="s">
        <v>152</v>
      </c>
      <c r="I11" s="105" t="s">
        <v>152</v>
      </c>
      <c r="J11" s="107">
        <v>1</v>
      </c>
      <c r="K11" s="107">
        <v>0</v>
      </c>
      <c r="L11" s="107">
        <v>0</v>
      </c>
      <c r="M11" s="277">
        <v>0</v>
      </c>
      <c r="N11" s="278"/>
      <c r="O11" s="267">
        <v>3</v>
      </c>
      <c r="P11" s="107" t="s">
        <v>152</v>
      </c>
      <c r="Q11" s="107" t="s">
        <v>152</v>
      </c>
      <c r="R11" s="107" t="s">
        <v>152</v>
      </c>
      <c r="S11" s="107" t="s">
        <v>28</v>
      </c>
      <c r="T11" s="107">
        <v>4.5</v>
      </c>
      <c r="U11" s="107">
        <v>0</v>
      </c>
      <c r="V11" s="115"/>
      <c r="W11" s="268">
        <v>1</v>
      </c>
      <c r="X11" s="86">
        <v>3</v>
      </c>
    </row>
    <row r="12" spans="2:25" ht="17.25" customHeight="1" x14ac:dyDescent="0.3">
      <c r="B12" s="263">
        <v>7</v>
      </c>
      <c r="C12" s="104" t="s">
        <v>99</v>
      </c>
      <c r="D12" s="89"/>
      <c r="E12" s="113">
        <v>4</v>
      </c>
      <c r="F12" s="105"/>
      <c r="G12" s="106">
        <f t="shared" si="0"/>
        <v>4</v>
      </c>
      <c r="H12" s="206">
        <v>2</v>
      </c>
      <c r="I12" s="206">
        <v>13</v>
      </c>
      <c r="J12" s="107">
        <v>10</v>
      </c>
      <c r="K12" s="107">
        <v>0</v>
      </c>
      <c r="L12" s="107">
        <v>0</v>
      </c>
      <c r="M12" s="107">
        <v>8</v>
      </c>
      <c r="N12" s="264"/>
      <c r="O12" s="267">
        <v>10</v>
      </c>
      <c r="P12" s="107" t="s">
        <v>152</v>
      </c>
      <c r="Q12" s="107" t="s">
        <v>152</v>
      </c>
      <c r="R12" s="107" t="s">
        <v>152</v>
      </c>
      <c r="S12" s="107" t="s">
        <v>157</v>
      </c>
      <c r="T12" s="107">
        <v>1</v>
      </c>
      <c r="U12" s="107">
        <v>0</v>
      </c>
      <c r="V12" s="115">
        <v>43</v>
      </c>
      <c r="W12" s="268">
        <v>7</v>
      </c>
      <c r="X12" s="86" t="s">
        <v>158</v>
      </c>
    </row>
    <row r="13" spans="2:25" ht="17.25" customHeight="1" x14ac:dyDescent="0.3">
      <c r="B13" s="263">
        <v>8</v>
      </c>
      <c r="C13" s="104" t="s">
        <v>128</v>
      </c>
      <c r="D13" s="89"/>
      <c r="E13" s="113">
        <v>2.5</v>
      </c>
      <c r="F13" s="105"/>
      <c r="G13" s="106">
        <f t="shared" si="0"/>
        <v>2.5</v>
      </c>
      <c r="H13" s="113">
        <v>3</v>
      </c>
      <c r="I13" s="113">
        <v>0</v>
      </c>
      <c r="J13" s="107">
        <v>13</v>
      </c>
      <c r="K13" s="107">
        <v>0</v>
      </c>
      <c r="L13" s="107">
        <v>0</v>
      </c>
      <c r="M13" s="107">
        <v>15</v>
      </c>
      <c r="N13" s="264"/>
      <c r="O13" s="267">
        <v>3</v>
      </c>
      <c r="P13" s="107" t="s">
        <v>152</v>
      </c>
      <c r="Q13" s="107" t="s">
        <v>152</v>
      </c>
      <c r="R13" s="107" t="s">
        <v>152</v>
      </c>
      <c r="S13" s="107" t="s">
        <v>64</v>
      </c>
      <c r="T13" s="107">
        <v>0</v>
      </c>
      <c r="U13" s="107">
        <v>1</v>
      </c>
      <c r="V13" s="115">
        <v>6</v>
      </c>
      <c r="W13" s="268">
        <v>3</v>
      </c>
      <c r="X13" s="86" t="s">
        <v>159</v>
      </c>
    </row>
    <row r="14" spans="2:25" ht="17.25" customHeight="1" x14ac:dyDescent="0.3">
      <c r="B14" s="263">
        <v>9</v>
      </c>
      <c r="C14" s="104" t="s">
        <v>129</v>
      </c>
      <c r="D14" s="89"/>
      <c r="E14" s="113">
        <v>1</v>
      </c>
      <c r="F14" s="105"/>
      <c r="G14" s="106">
        <v>1</v>
      </c>
      <c r="H14" s="105" t="s">
        <v>152</v>
      </c>
      <c r="I14" s="105">
        <v>2</v>
      </c>
      <c r="J14" s="107">
        <v>24</v>
      </c>
      <c r="K14" s="107">
        <v>0</v>
      </c>
      <c r="L14" s="107">
        <v>0</v>
      </c>
      <c r="M14" s="107">
        <v>21</v>
      </c>
      <c r="N14" s="264"/>
      <c r="O14" s="267">
        <v>12</v>
      </c>
      <c r="P14" s="107" t="s">
        <v>152</v>
      </c>
      <c r="Q14" s="107">
        <v>4</v>
      </c>
      <c r="R14" s="107" t="s">
        <v>152</v>
      </c>
      <c r="S14" s="107">
        <v>0</v>
      </c>
      <c r="T14" s="107">
        <v>4</v>
      </c>
      <c r="U14" s="107">
        <v>3</v>
      </c>
      <c r="V14" s="115">
        <v>36</v>
      </c>
      <c r="W14" s="268">
        <v>12</v>
      </c>
      <c r="X14" s="86" t="s">
        <v>160</v>
      </c>
    </row>
    <row r="15" spans="2:25" ht="17.25" customHeight="1" x14ac:dyDescent="0.3">
      <c r="B15" s="263">
        <v>10</v>
      </c>
      <c r="C15" s="104" t="s">
        <v>130</v>
      </c>
      <c r="D15" s="89"/>
      <c r="E15" s="113">
        <v>4</v>
      </c>
      <c r="F15" s="105"/>
      <c r="G15" s="106">
        <v>4</v>
      </c>
      <c r="H15" s="105">
        <v>2</v>
      </c>
      <c r="I15" s="105">
        <v>0</v>
      </c>
      <c r="J15" s="107">
        <v>19</v>
      </c>
      <c r="K15" s="107">
        <v>0</v>
      </c>
      <c r="L15" s="107">
        <v>0</v>
      </c>
      <c r="M15" s="107">
        <v>17</v>
      </c>
      <c r="N15" s="264"/>
      <c r="O15" s="267">
        <v>15</v>
      </c>
      <c r="P15" s="107" t="s">
        <v>152</v>
      </c>
      <c r="Q15" s="107" t="s">
        <v>152</v>
      </c>
      <c r="R15" s="107" t="s">
        <v>152</v>
      </c>
      <c r="S15" s="107">
        <v>0</v>
      </c>
      <c r="T15" s="107">
        <v>1</v>
      </c>
      <c r="U15" s="107">
        <v>8</v>
      </c>
      <c r="V15" s="115">
        <v>37</v>
      </c>
      <c r="W15" s="268">
        <v>11</v>
      </c>
      <c r="X15" s="86" t="s">
        <v>161</v>
      </c>
    </row>
    <row r="16" spans="2:25" ht="17.25" customHeight="1" x14ac:dyDescent="0.3">
      <c r="B16" s="263">
        <v>11</v>
      </c>
      <c r="C16" s="103" t="s">
        <v>30</v>
      </c>
      <c r="D16" s="89"/>
      <c r="E16" s="113">
        <v>4</v>
      </c>
      <c r="F16" s="105"/>
      <c r="G16" s="106">
        <f t="shared" si="0"/>
        <v>4</v>
      </c>
      <c r="H16" s="105">
        <v>2</v>
      </c>
      <c r="I16" s="105">
        <v>1</v>
      </c>
      <c r="J16" s="107">
        <v>1</v>
      </c>
      <c r="K16" s="107">
        <v>0</v>
      </c>
      <c r="L16" s="107">
        <v>0</v>
      </c>
      <c r="M16" s="107">
        <v>1</v>
      </c>
      <c r="N16" s="264"/>
      <c r="O16" s="267">
        <v>13</v>
      </c>
      <c r="P16" s="107" t="s">
        <v>152</v>
      </c>
      <c r="Q16" s="107">
        <v>4</v>
      </c>
      <c r="R16" s="107">
        <v>4</v>
      </c>
      <c r="S16" s="107" t="s">
        <v>64</v>
      </c>
      <c r="T16" s="114">
        <v>1</v>
      </c>
      <c r="U16" s="114">
        <v>10</v>
      </c>
      <c r="V16" s="115">
        <v>57</v>
      </c>
      <c r="W16" s="268">
        <v>3</v>
      </c>
      <c r="X16" s="86" t="s">
        <v>162</v>
      </c>
    </row>
    <row r="17" spans="2:24" ht="17.25" customHeight="1" x14ac:dyDescent="0.3">
      <c r="B17" s="263">
        <v>12</v>
      </c>
      <c r="C17" s="103" t="s">
        <v>61</v>
      </c>
      <c r="D17" s="89"/>
      <c r="E17" s="113">
        <v>4</v>
      </c>
      <c r="F17" s="105"/>
      <c r="G17" s="106">
        <f t="shared" si="0"/>
        <v>4</v>
      </c>
      <c r="H17" s="105">
        <v>2</v>
      </c>
      <c r="I17" s="105">
        <v>0</v>
      </c>
      <c r="J17" s="107">
        <v>1</v>
      </c>
      <c r="K17" s="107">
        <v>2</v>
      </c>
      <c r="L17" s="107">
        <v>0</v>
      </c>
      <c r="M17" s="107">
        <v>2</v>
      </c>
      <c r="N17" s="264">
        <v>1</v>
      </c>
      <c r="O17" s="267">
        <v>8</v>
      </c>
      <c r="P17" s="107" t="s">
        <v>152</v>
      </c>
      <c r="Q17" s="107" t="s">
        <v>152</v>
      </c>
      <c r="R17" s="107" t="s">
        <v>152</v>
      </c>
      <c r="S17" s="107" t="s">
        <v>151</v>
      </c>
      <c r="T17" s="107">
        <v>1</v>
      </c>
      <c r="U17" s="107">
        <v>7</v>
      </c>
      <c r="V17" s="115">
        <v>34</v>
      </c>
      <c r="W17" s="268">
        <v>5</v>
      </c>
      <c r="X17" s="86" t="s">
        <v>163</v>
      </c>
    </row>
    <row r="18" spans="2:24" ht="17.25" customHeight="1" x14ac:dyDescent="0.3">
      <c r="B18" s="263">
        <v>13</v>
      </c>
      <c r="C18" s="103" t="s">
        <v>63</v>
      </c>
      <c r="D18" s="89"/>
      <c r="E18" s="105">
        <v>1</v>
      </c>
      <c r="F18" s="105"/>
      <c r="G18" s="106">
        <f t="shared" si="0"/>
        <v>1</v>
      </c>
      <c r="H18" s="105">
        <v>5</v>
      </c>
      <c r="I18" s="105">
        <v>5</v>
      </c>
      <c r="J18" s="107">
        <v>3</v>
      </c>
      <c r="K18" s="107">
        <v>0</v>
      </c>
      <c r="L18" s="107">
        <v>0</v>
      </c>
      <c r="M18" s="107">
        <v>3</v>
      </c>
      <c r="N18" s="264"/>
      <c r="O18" s="267">
        <v>6</v>
      </c>
      <c r="P18" s="107" t="s">
        <v>152</v>
      </c>
      <c r="Q18" s="107">
        <v>4</v>
      </c>
      <c r="R18" s="107">
        <v>2</v>
      </c>
      <c r="S18" s="107" t="s">
        <v>64</v>
      </c>
      <c r="T18" s="107">
        <v>2</v>
      </c>
      <c r="U18" s="107">
        <v>9</v>
      </c>
      <c r="V18" s="115">
        <v>33</v>
      </c>
      <c r="W18" s="268">
        <v>6</v>
      </c>
      <c r="X18" s="86" t="s">
        <v>164</v>
      </c>
    </row>
    <row r="19" spans="2:24" ht="18" customHeight="1" x14ac:dyDescent="0.3">
      <c r="B19" s="263">
        <v>14</v>
      </c>
      <c r="C19" s="103" t="s">
        <v>44</v>
      </c>
      <c r="D19" s="89"/>
      <c r="E19" s="113">
        <v>5</v>
      </c>
      <c r="F19" s="105"/>
      <c r="G19" s="106">
        <f t="shared" si="0"/>
        <v>5</v>
      </c>
      <c r="H19" s="116">
        <v>5</v>
      </c>
      <c r="I19" s="116">
        <v>2</v>
      </c>
      <c r="J19" s="107">
        <v>4</v>
      </c>
      <c r="K19" s="107">
        <v>0</v>
      </c>
      <c r="L19" s="107">
        <v>0</v>
      </c>
      <c r="M19" s="107">
        <v>0</v>
      </c>
      <c r="N19" s="264"/>
      <c r="O19" s="267">
        <v>0</v>
      </c>
      <c r="P19" s="107" t="s">
        <v>152</v>
      </c>
      <c r="Q19" s="107" t="s">
        <v>152</v>
      </c>
      <c r="R19" s="107" t="s">
        <v>152</v>
      </c>
      <c r="S19" s="107" t="s">
        <v>64</v>
      </c>
      <c r="T19" s="107">
        <v>2</v>
      </c>
      <c r="U19" s="114">
        <v>4</v>
      </c>
      <c r="V19" s="115">
        <v>35</v>
      </c>
      <c r="W19" s="268">
        <v>2</v>
      </c>
      <c r="X19" s="86">
        <v>8.1</v>
      </c>
    </row>
    <row r="20" spans="2:24" ht="22.5" customHeight="1" x14ac:dyDescent="0.3">
      <c r="B20" s="263">
        <v>15</v>
      </c>
      <c r="C20" s="103" t="s">
        <v>125</v>
      </c>
      <c r="D20" s="89"/>
      <c r="E20" s="113">
        <v>1</v>
      </c>
      <c r="F20" s="105"/>
      <c r="G20" s="106">
        <f t="shared" si="0"/>
        <v>1</v>
      </c>
      <c r="H20" s="105">
        <v>3</v>
      </c>
      <c r="I20" s="105">
        <v>0</v>
      </c>
      <c r="J20" s="107">
        <v>8</v>
      </c>
      <c r="K20" s="107">
        <v>0</v>
      </c>
      <c r="L20" s="107">
        <v>0</v>
      </c>
      <c r="M20" s="107">
        <v>8</v>
      </c>
      <c r="N20" s="264"/>
      <c r="O20" s="267">
        <v>7</v>
      </c>
      <c r="P20" s="107" t="s">
        <v>152</v>
      </c>
      <c r="Q20" s="107" t="s">
        <v>152</v>
      </c>
      <c r="R20" s="107" t="s">
        <v>152</v>
      </c>
      <c r="S20" s="107" t="s">
        <v>151</v>
      </c>
      <c r="T20" s="107">
        <v>1.5</v>
      </c>
      <c r="U20" s="107">
        <v>12</v>
      </c>
      <c r="V20" s="115">
        <v>42</v>
      </c>
      <c r="W20" s="268">
        <v>7</v>
      </c>
      <c r="X20" s="86" t="s">
        <v>165</v>
      </c>
    </row>
    <row r="21" spans="2:24" ht="17.25" customHeight="1" x14ac:dyDescent="0.3">
      <c r="B21" s="263">
        <v>16</v>
      </c>
      <c r="C21" s="103" t="s">
        <v>49</v>
      </c>
      <c r="D21" s="89"/>
      <c r="E21" s="113">
        <v>2.5</v>
      </c>
      <c r="F21" s="105"/>
      <c r="G21" s="106">
        <f t="shared" si="0"/>
        <v>2.5</v>
      </c>
      <c r="H21" s="105">
        <v>2</v>
      </c>
      <c r="I21" s="105" t="s">
        <v>152</v>
      </c>
      <c r="J21" s="107">
        <v>0</v>
      </c>
      <c r="K21" s="107">
        <v>0</v>
      </c>
      <c r="L21" s="107">
        <v>0</v>
      </c>
      <c r="M21" s="107">
        <v>0</v>
      </c>
      <c r="N21" s="264"/>
      <c r="O21" s="267">
        <v>3</v>
      </c>
      <c r="P21" s="107" t="s">
        <v>152</v>
      </c>
      <c r="Q21" s="107" t="s">
        <v>152</v>
      </c>
      <c r="R21" s="107" t="s">
        <v>152</v>
      </c>
      <c r="S21" s="107" t="s">
        <v>151</v>
      </c>
      <c r="T21" s="107">
        <v>1.5</v>
      </c>
      <c r="U21" s="107">
        <v>5</v>
      </c>
      <c r="V21" s="115">
        <v>33</v>
      </c>
      <c r="W21" s="268">
        <v>7</v>
      </c>
      <c r="X21" s="86" t="s">
        <v>166</v>
      </c>
    </row>
    <row r="22" spans="2:24" ht="17.25" customHeight="1" x14ac:dyDescent="0.3">
      <c r="B22" s="263">
        <v>17</v>
      </c>
      <c r="C22" s="104" t="s">
        <v>126</v>
      </c>
      <c r="D22" s="89"/>
      <c r="E22" s="105">
        <v>1</v>
      </c>
      <c r="F22" s="105"/>
      <c r="G22" s="106">
        <f t="shared" si="0"/>
        <v>1</v>
      </c>
      <c r="H22" s="105" t="s">
        <v>152</v>
      </c>
      <c r="I22" s="105" t="s">
        <v>152</v>
      </c>
      <c r="J22" s="107">
        <v>25</v>
      </c>
      <c r="K22" s="107">
        <v>0</v>
      </c>
      <c r="L22" s="107">
        <v>0</v>
      </c>
      <c r="M22" s="107">
        <v>23</v>
      </c>
      <c r="N22" s="264"/>
      <c r="O22" s="267">
        <v>16</v>
      </c>
      <c r="P22" s="107" t="s">
        <v>152</v>
      </c>
      <c r="Q22" s="107" t="s">
        <v>152</v>
      </c>
      <c r="R22" s="107" t="s">
        <v>152</v>
      </c>
      <c r="S22" s="107" t="s">
        <v>167</v>
      </c>
      <c r="T22" s="107">
        <v>2.5</v>
      </c>
      <c r="U22" s="107">
        <v>1</v>
      </c>
      <c r="V22" s="115">
        <v>5</v>
      </c>
      <c r="W22" s="268">
        <v>2</v>
      </c>
      <c r="X22" s="86" t="s">
        <v>168</v>
      </c>
    </row>
    <row r="23" spans="2:24" ht="17.25" x14ac:dyDescent="0.3">
      <c r="B23" s="263">
        <v>18</v>
      </c>
      <c r="C23" s="104" t="s">
        <v>77</v>
      </c>
      <c r="D23" s="89"/>
      <c r="E23" s="113">
        <v>2</v>
      </c>
      <c r="F23" s="105"/>
      <c r="G23" s="106">
        <f t="shared" si="0"/>
        <v>2</v>
      </c>
      <c r="H23" s="105" t="s">
        <v>152</v>
      </c>
      <c r="I23" s="105" t="s">
        <v>152</v>
      </c>
      <c r="J23" s="107">
        <v>0</v>
      </c>
      <c r="K23" s="107">
        <v>0</v>
      </c>
      <c r="L23" s="107">
        <v>0</v>
      </c>
      <c r="M23" s="107">
        <v>1</v>
      </c>
      <c r="N23" s="264">
        <v>3</v>
      </c>
      <c r="O23" s="267">
        <v>8</v>
      </c>
      <c r="P23" s="107" t="s">
        <v>152</v>
      </c>
      <c r="Q23" s="107">
        <v>5</v>
      </c>
      <c r="R23" s="107">
        <v>5</v>
      </c>
      <c r="S23" s="107" t="s">
        <v>167</v>
      </c>
      <c r="T23" s="107">
        <v>1</v>
      </c>
      <c r="U23" s="114">
        <v>4</v>
      </c>
      <c r="V23" s="115">
        <v>60</v>
      </c>
      <c r="W23" s="268">
        <v>15</v>
      </c>
      <c r="X23" s="86" t="s">
        <v>169</v>
      </c>
    </row>
    <row r="24" spans="2:24" ht="17.25" customHeight="1" x14ac:dyDescent="0.3">
      <c r="B24" s="263">
        <v>19</v>
      </c>
      <c r="C24" s="104" t="s">
        <v>112</v>
      </c>
      <c r="D24" s="89"/>
      <c r="E24" s="113">
        <v>1</v>
      </c>
      <c r="F24" s="105"/>
      <c r="G24" s="106">
        <f t="shared" si="0"/>
        <v>1</v>
      </c>
      <c r="H24" s="105">
        <v>1</v>
      </c>
      <c r="I24" s="105">
        <v>0</v>
      </c>
      <c r="J24" s="107">
        <v>8</v>
      </c>
      <c r="K24" s="107">
        <v>0</v>
      </c>
      <c r="L24" s="107">
        <v>0</v>
      </c>
      <c r="M24" s="107">
        <v>8</v>
      </c>
      <c r="N24" s="264">
        <v>5</v>
      </c>
      <c r="O24" s="267">
        <v>7</v>
      </c>
      <c r="P24" s="107" t="s">
        <v>152</v>
      </c>
      <c r="Q24" s="107" t="s">
        <v>152</v>
      </c>
      <c r="R24" s="107" t="s">
        <v>152</v>
      </c>
      <c r="S24" s="107" t="s">
        <v>151</v>
      </c>
      <c r="T24" s="107">
        <v>1.5</v>
      </c>
      <c r="U24" s="107">
        <v>8</v>
      </c>
      <c r="V24" s="115">
        <v>11</v>
      </c>
      <c r="W24" s="268">
        <v>7</v>
      </c>
      <c r="X24" s="86" t="s">
        <v>170</v>
      </c>
    </row>
    <row r="25" spans="2:24" s="91" customFormat="1" ht="17.25" customHeight="1" x14ac:dyDescent="0.3">
      <c r="B25" s="263">
        <v>20</v>
      </c>
      <c r="C25" s="208" t="s">
        <v>113</v>
      </c>
      <c r="D25" s="125"/>
      <c r="E25" s="105">
        <v>1.5</v>
      </c>
      <c r="F25" s="105"/>
      <c r="G25" s="106">
        <f>SUM($E25:$F25)</f>
        <v>1.5</v>
      </c>
      <c r="H25" s="105" t="s">
        <v>152</v>
      </c>
      <c r="I25" s="105" t="s">
        <v>152</v>
      </c>
      <c r="J25" s="107">
        <v>1</v>
      </c>
      <c r="K25" s="107">
        <v>2</v>
      </c>
      <c r="L25" s="107">
        <v>0</v>
      </c>
      <c r="M25" s="107">
        <v>1</v>
      </c>
      <c r="N25" s="264"/>
      <c r="O25" s="267">
        <v>5</v>
      </c>
      <c r="P25" s="107" t="s">
        <v>152</v>
      </c>
      <c r="Q25" s="107" t="s">
        <v>152</v>
      </c>
      <c r="R25" s="107" t="s">
        <v>152</v>
      </c>
      <c r="S25" s="107">
        <v>0</v>
      </c>
      <c r="T25" s="107">
        <v>0</v>
      </c>
      <c r="U25" s="107">
        <v>1</v>
      </c>
      <c r="V25" s="212">
        <v>19</v>
      </c>
      <c r="W25" s="279">
        <v>2</v>
      </c>
      <c r="X25" s="86" t="s">
        <v>171</v>
      </c>
    </row>
    <row r="26" spans="2:24" s="91" customFormat="1" ht="17.25" customHeight="1" x14ac:dyDescent="0.3">
      <c r="B26" s="263">
        <v>21</v>
      </c>
      <c r="C26" s="208" t="s">
        <v>137</v>
      </c>
      <c r="D26" s="125"/>
      <c r="E26" s="105">
        <v>1</v>
      </c>
      <c r="F26" s="105"/>
      <c r="G26" s="106">
        <f t="shared" si="0"/>
        <v>1</v>
      </c>
      <c r="H26" s="105" t="s">
        <v>152</v>
      </c>
      <c r="I26" s="105" t="s">
        <v>152</v>
      </c>
      <c r="J26" s="107">
        <v>40</v>
      </c>
      <c r="K26" s="107">
        <v>0</v>
      </c>
      <c r="L26" s="107">
        <v>0</v>
      </c>
      <c r="M26" s="107">
        <v>19</v>
      </c>
      <c r="N26" s="264"/>
      <c r="O26" s="267">
        <v>15</v>
      </c>
      <c r="P26" s="107">
        <v>6</v>
      </c>
      <c r="Q26" s="107" t="s">
        <v>152</v>
      </c>
      <c r="R26" s="107" t="s">
        <v>152</v>
      </c>
      <c r="S26" s="107">
        <v>0</v>
      </c>
      <c r="T26" s="107">
        <v>0</v>
      </c>
      <c r="U26" s="107">
        <v>0</v>
      </c>
      <c r="V26" s="227">
        <v>5</v>
      </c>
      <c r="W26" s="279"/>
      <c r="X26" s="86" t="s">
        <v>172</v>
      </c>
    </row>
    <row r="27" spans="2:24" s="91" customFormat="1" ht="17.25" customHeight="1" x14ac:dyDescent="0.3">
      <c r="B27" s="263">
        <v>22</v>
      </c>
      <c r="C27" s="280" t="s">
        <v>114</v>
      </c>
      <c r="D27" s="89"/>
      <c r="E27" s="105">
        <v>0</v>
      </c>
      <c r="F27" s="105"/>
      <c r="G27" s="106">
        <f t="shared" si="0"/>
        <v>0</v>
      </c>
      <c r="H27" s="105" t="s">
        <v>152</v>
      </c>
      <c r="I27" s="105" t="s">
        <v>152</v>
      </c>
      <c r="J27" s="107">
        <v>21</v>
      </c>
      <c r="K27" s="107">
        <v>5</v>
      </c>
      <c r="L27" s="107">
        <v>0</v>
      </c>
      <c r="M27" s="107">
        <v>30</v>
      </c>
      <c r="N27" s="264"/>
      <c r="O27" s="267">
        <v>16</v>
      </c>
      <c r="P27" s="107" t="s">
        <v>152</v>
      </c>
      <c r="Q27" s="107" t="s">
        <v>152</v>
      </c>
      <c r="R27" s="107" t="s">
        <v>152</v>
      </c>
      <c r="S27" s="107" t="s">
        <v>64</v>
      </c>
      <c r="T27" s="107">
        <v>0.5</v>
      </c>
      <c r="U27" s="107">
        <v>2</v>
      </c>
      <c r="V27" s="120">
        <v>11</v>
      </c>
      <c r="W27" s="268"/>
      <c r="X27" s="86" t="s">
        <v>173</v>
      </c>
    </row>
    <row r="28" spans="2:24" s="91" customFormat="1" ht="17.25" customHeight="1" x14ac:dyDescent="0.3">
      <c r="B28" s="263">
        <v>23</v>
      </c>
      <c r="C28" s="280" t="s">
        <v>138</v>
      </c>
      <c r="D28" s="89"/>
      <c r="E28" s="105">
        <v>3</v>
      </c>
      <c r="F28" s="105"/>
      <c r="G28" s="106">
        <f t="shared" si="0"/>
        <v>3</v>
      </c>
      <c r="H28" s="105" t="s">
        <v>152</v>
      </c>
      <c r="I28" s="105">
        <v>1</v>
      </c>
      <c r="J28" s="107">
        <v>18</v>
      </c>
      <c r="K28" s="107">
        <v>0</v>
      </c>
      <c r="L28" s="107">
        <v>0</v>
      </c>
      <c r="M28" s="107">
        <v>23</v>
      </c>
      <c r="N28" s="264"/>
      <c r="O28" s="267">
        <v>7</v>
      </c>
      <c r="P28" s="107" t="s">
        <v>152</v>
      </c>
      <c r="Q28" s="107" t="s">
        <v>152</v>
      </c>
      <c r="R28" s="107" t="s">
        <v>152</v>
      </c>
      <c r="S28" s="107">
        <v>0</v>
      </c>
      <c r="T28" s="107">
        <v>0</v>
      </c>
      <c r="U28" s="107">
        <v>1</v>
      </c>
      <c r="V28" s="120">
        <v>11</v>
      </c>
      <c r="W28" s="268">
        <v>7</v>
      </c>
      <c r="X28" s="86" t="s">
        <v>174</v>
      </c>
    </row>
    <row r="29" spans="2:24" s="91" customFormat="1" ht="17.25" customHeight="1" x14ac:dyDescent="0.3">
      <c r="B29" s="263">
        <v>24</v>
      </c>
      <c r="C29" s="280" t="s">
        <v>139</v>
      </c>
      <c r="D29" s="89"/>
      <c r="E29" s="105">
        <v>0</v>
      </c>
      <c r="F29" s="105"/>
      <c r="G29" s="106">
        <f t="shared" si="0"/>
        <v>0</v>
      </c>
      <c r="H29" s="105" t="s">
        <v>152</v>
      </c>
      <c r="I29" s="105" t="s">
        <v>152</v>
      </c>
      <c r="J29" s="107">
        <v>33</v>
      </c>
      <c r="K29" s="107">
        <v>0</v>
      </c>
      <c r="L29" s="107">
        <v>0</v>
      </c>
      <c r="M29" s="107">
        <v>9</v>
      </c>
      <c r="N29" s="264"/>
      <c r="O29" s="267">
        <v>12</v>
      </c>
      <c r="P29" s="107" t="s">
        <v>152</v>
      </c>
      <c r="Q29" s="107" t="s">
        <v>152</v>
      </c>
      <c r="R29" s="107" t="s">
        <v>152</v>
      </c>
      <c r="S29" s="107">
        <v>0</v>
      </c>
      <c r="T29" s="107">
        <v>1</v>
      </c>
      <c r="U29" s="107">
        <v>1</v>
      </c>
      <c r="V29" s="120">
        <v>8</v>
      </c>
      <c r="W29" s="268">
        <v>10</v>
      </c>
      <c r="X29" s="86">
        <v>3</v>
      </c>
    </row>
    <row r="30" spans="2:24" s="91" customFormat="1" ht="17.25" customHeight="1" x14ac:dyDescent="0.3">
      <c r="B30" s="263">
        <v>25</v>
      </c>
      <c r="C30" s="280" t="s">
        <v>140</v>
      </c>
      <c r="D30" s="89"/>
      <c r="E30" s="105">
        <v>0</v>
      </c>
      <c r="F30" s="105"/>
      <c r="G30" s="106">
        <f t="shared" si="0"/>
        <v>0</v>
      </c>
      <c r="H30" s="105" t="s">
        <v>152</v>
      </c>
      <c r="I30" s="105" t="s">
        <v>152</v>
      </c>
      <c r="J30" s="107">
        <v>58</v>
      </c>
      <c r="K30" s="91">
        <v>0</v>
      </c>
      <c r="L30" s="107">
        <v>0</v>
      </c>
      <c r="M30" s="107">
        <v>49</v>
      </c>
      <c r="N30" s="264"/>
      <c r="O30" s="267">
        <v>25</v>
      </c>
      <c r="P30" s="107">
        <v>64</v>
      </c>
      <c r="Q30" s="107" t="s">
        <v>152</v>
      </c>
      <c r="R30" s="107" t="s">
        <v>152</v>
      </c>
      <c r="S30" s="107" t="s">
        <v>64</v>
      </c>
      <c r="T30" s="107">
        <v>0</v>
      </c>
      <c r="U30" s="107">
        <v>1</v>
      </c>
      <c r="V30" s="120">
        <v>3</v>
      </c>
      <c r="W30" s="268"/>
      <c r="X30" s="86">
        <v>8.3000000000000007</v>
      </c>
    </row>
    <row r="31" spans="2:24" s="91" customFormat="1" ht="17.25" customHeight="1" x14ac:dyDescent="0.3">
      <c r="B31" s="263">
        <v>26</v>
      </c>
      <c r="C31" s="280" t="s">
        <v>115</v>
      </c>
      <c r="D31" s="126"/>
      <c r="E31" s="105">
        <v>0</v>
      </c>
      <c r="F31" s="105"/>
      <c r="G31" s="106">
        <f t="shared" si="0"/>
        <v>0</v>
      </c>
      <c r="H31" s="105" t="s">
        <v>152</v>
      </c>
      <c r="I31" s="105" t="s">
        <v>152</v>
      </c>
      <c r="J31" s="107">
        <v>8</v>
      </c>
      <c r="K31" s="107">
        <v>0</v>
      </c>
      <c r="L31" s="107">
        <v>0</v>
      </c>
      <c r="M31" s="107">
        <v>10</v>
      </c>
      <c r="N31" s="264"/>
      <c r="O31" s="267">
        <v>8</v>
      </c>
      <c r="P31" s="107">
        <v>8</v>
      </c>
      <c r="Q31" s="107" t="s">
        <v>152</v>
      </c>
      <c r="R31" s="107" t="s">
        <v>152</v>
      </c>
      <c r="S31" s="107" t="s">
        <v>64</v>
      </c>
      <c r="T31" s="119">
        <v>2</v>
      </c>
      <c r="U31" s="107">
        <v>0</v>
      </c>
      <c r="V31" s="120">
        <v>8</v>
      </c>
      <c r="W31" s="268"/>
      <c r="X31" s="86">
        <v>2.6</v>
      </c>
    </row>
    <row r="32" spans="2:24" s="91" customFormat="1" ht="17.25" customHeight="1" x14ac:dyDescent="0.3">
      <c r="B32" s="263">
        <v>27</v>
      </c>
      <c r="C32" s="280" t="s">
        <v>175</v>
      </c>
      <c r="D32" s="126"/>
      <c r="E32" s="105">
        <v>0</v>
      </c>
      <c r="F32" s="105"/>
      <c r="G32" s="106">
        <f t="shared" si="0"/>
        <v>0</v>
      </c>
      <c r="H32" s="105" t="s">
        <v>152</v>
      </c>
      <c r="I32" s="105" t="s">
        <v>152</v>
      </c>
      <c r="J32" s="107">
        <v>17</v>
      </c>
      <c r="K32" s="107">
        <v>0</v>
      </c>
      <c r="L32" s="107">
        <v>0</v>
      </c>
      <c r="M32" s="107">
        <v>15</v>
      </c>
      <c r="N32" s="264"/>
      <c r="O32" s="267">
        <v>5</v>
      </c>
      <c r="P32" s="107" t="s">
        <v>152</v>
      </c>
      <c r="Q32" s="107" t="s">
        <v>152</v>
      </c>
      <c r="R32" s="107" t="s">
        <v>152</v>
      </c>
      <c r="S32" s="107">
        <v>0</v>
      </c>
      <c r="T32" s="281">
        <v>1</v>
      </c>
      <c r="U32" s="107">
        <v>0</v>
      </c>
      <c r="V32" s="120"/>
      <c r="W32" s="268"/>
      <c r="X32" s="86">
        <v>1.6</v>
      </c>
    </row>
    <row r="33" spans="2:24" s="91" customFormat="1" ht="17.25" customHeight="1" x14ac:dyDescent="0.3">
      <c r="B33" s="263">
        <v>28</v>
      </c>
      <c r="C33" s="280" t="s">
        <v>116</v>
      </c>
      <c r="D33" s="126"/>
      <c r="E33" s="105"/>
      <c r="F33" s="105"/>
      <c r="G33" s="106">
        <f t="shared" si="0"/>
        <v>0</v>
      </c>
      <c r="H33" s="105" t="s">
        <v>152</v>
      </c>
      <c r="I33" s="105" t="s">
        <v>152</v>
      </c>
      <c r="J33" s="107"/>
      <c r="K33" s="107">
        <v>0</v>
      </c>
      <c r="L33" s="107">
        <v>0</v>
      </c>
      <c r="M33" s="107"/>
      <c r="N33" s="264"/>
      <c r="O33" s="267"/>
      <c r="P33" s="107" t="s">
        <v>152</v>
      </c>
      <c r="Q33" s="107" t="s">
        <v>152</v>
      </c>
      <c r="R33" s="107" t="s">
        <v>152</v>
      </c>
      <c r="S33" s="107"/>
      <c r="T33" s="107"/>
      <c r="U33" s="107">
        <v>0</v>
      </c>
      <c r="V33" s="120">
        <v>6</v>
      </c>
      <c r="W33" s="268"/>
      <c r="X33" s="86"/>
    </row>
    <row r="34" spans="2:24" s="91" customFormat="1" ht="17.25" customHeight="1" x14ac:dyDescent="0.3">
      <c r="B34" s="263">
        <v>29</v>
      </c>
      <c r="C34" s="280" t="s">
        <v>117</v>
      </c>
      <c r="D34" s="126"/>
      <c r="E34" s="105">
        <v>0</v>
      </c>
      <c r="F34" s="105"/>
      <c r="G34" s="106">
        <f t="shared" si="0"/>
        <v>0</v>
      </c>
      <c r="H34" s="105" t="s">
        <v>152</v>
      </c>
      <c r="I34" s="105" t="s">
        <v>152</v>
      </c>
      <c r="J34" s="107">
        <v>0</v>
      </c>
      <c r="K34" s="107">
        <v>0</v>
      </c>
      <c r="L34" s="107">
        <v>0</v>
      </c>
      <c r="M34" s="107">
        <v>0</v>
      </c>
      <c r="N34" s="264"/>
      <c r="O34" s="267">
        <v>8</v>
      </c>
      <c r="P34" s="107" t="s">
        <v>152</v>
      </c>
      <c r="Q34" s="107" t="s">
        <v>152</v>
      </c>
      <c r="R34" s="107" t="s">
        <v>152</v>
      </c>
      <c r="S34" s="107" t="s">
        <v>64</v>
      </c>
      <c r="T34" s="107">
        <v>3</v>
      </c>
      <c r="U34" s="107">
        <v>3</v>
      </c>
      <c r="V34" s="120">
        <v>2</v>
      </c>
      <c r="W34" s="268">
        <v>2</v>
      </c>
      <c r="X34" s="86">
        <v>1.6</v>
      </c>
    </row>
    <row r="35" spans="2:24" s="91" customFormat="1" ht="17.25" customHeight="1" x14ac:dyDescent="0.3">
      <c r="B35" s="263">
        <v>30</v>
      </c>
      <c r="C35" s="280" t="s">
        <v>116</v>
      </c>
      <c r="D35" s="126"/>
      <c r="E35" s="105">
        <v>0</v>
      </c>
      <c r="F35" s="105"/>
      <c r="G35" s="106">
        <f t="shared" si="0"/>
        <v>0</v>
      </c>
      <c r="H35" s="105" t="s">
        <v>152</v>
      </c>
      <c r="I35" s="105" t="s">
        <v>152</v>
      </c>
      <c r="J35" s="107">
        <v>0</v>
      </c>
      <c r="K35" s="107">
        <v>0</v>
      </c>
      <c r="L35" s="107">
        <v>0</v>
      </c>
      <c r="M35" s="107">
        <v>0</v>
      </c>
      <c r="N35" s="264"/>
      <c r="O35" s="267">
        <v>0</v>
      </c>
      <c r="P35" s="107" t="s">
        <v>152</v>
      </c>
      <c r="Q35" s="107" t="s">
        <v>152</v>
      </c>
      <c r="R35" s="107" t="s">
        <v>152</v>
      </c>
      <c r="S35" s="107" t="s">
        <v>131</v>
      </c>
      <c r="T35" s="107">
        <v>0</v>
      </c>
      <c r="U35" s="107"/>
      <c r="V35" s="120">
        <v>6</v>
      </c>
      <c r="W35" s="268">
        <v>2</v>
      </c>
      <c r="X35" s="86"/>
    </row>
    <row r="36" spans="2:24" ht="16.5" customHeight="1" thickBot="1" x14ac:dyDescent="0.25">
      <c r="B36" s="93"/>
      <c r="C36" s="94" t="s">
        <v>17</v>
      </c>
      <c r="D36" s="95">
        <f>SUM(D6:D25)</f>
        <v>0</v>
      </c>
      <c r="E36" s="121">
        <f>SUM(E6:E35)</f>
        <v>72.5</v>
      </c>
      <c r="F36" s="121">
        <f>SUM(F6:F33)</f>
        <v>0</v>
      </c>
      <c r="G36" s="121">
        <f t="shared" si="0"/>
        <v>72.5</v>
      </c>
      <c r="H36" s="121">
        <f t="shared" ref="H36:T36" si="1">SUM(H6:H33)</f>
        <v>40</v>
      </c>
      <c r="I36" s="121">
        <f t="shared" si="1"/>
        <v>56</v>
      </c>
      <c r="J36" s="121">
        <f>SUM(J6:J35)</f>
        <v>342</v>
      </c>
      <c r="K36" s="121">
        <f t="shared" si="1"/>
        <v>11</v>
      </c>
      <c r="L36" s="121">
        <f>SUM(L6:L35)</f>
        <v>3</v>
      </c>
      <c r="M36" s="121">
        <f t="shared" si="1"/>
        <v>284</v>
      </c>
      <c r="N36" s="150">
        <f>N6+N7+N8+N9+N10+N11+N12+N13+N14+N15+N16+N17+N18+N19+N21+N22+N23+N25+N24+N26+N27+N28+N29+N30+N31+N32+N33+N34+N35+N20</f>
        <v>16</v>
      </c>
      <c r="O36" s="282">
        <f>O6+O7+O8+O9+O10+O11+O12+O13+O14+O15+O16+O18+O17+O19+O20+O21+O22+O23+O24+O25+O26+O27+O28+O29+O30+O31+O32+O33+O34+O35</f>
        <v>283</v>
      </c>
      <c r="P36" s="121">
        <f>SUM(P6:P33)</f>
        <v>86</v>
      </c>
      <c r="Q36" s="121">
        <v>3</v>
      </c>
      <c r="R36" s="121">
        <v>6</v>
      </c>
      <c r="S36" s="121">
        <f>SUM(S6:S33)</f>
        <v>0</v>
      </c>
      <c r="T36" s="121">
        <f t="shared" si="1"/>
        <v>34</v>
      </c>
      <c r="U36" s="121">
        <f>SUM(U6:U35)</f>
        <v>109</v>
      </c>
      <c r="V36" s="150">
        <f>SUM(V6:V35)</f>
        <v>739</v>
      </c>
      <c r="W36" s="121">
        <f>SUM(W6:W35)</f>
        <v>159</v>
      </c>
    </row>
    <row r="37" spans="2:24" ht="15" customHeight="1" x14ac:dyDescent="0.2">
      <c r="B37" s="96"/>
      <c r="C37" s="96"/>
      <c r="D37" s="97"/>
      <c r="E37" s="98"/>
      <c r="F37" s="98"/>
      <c r="G37" s="98"/>
      <c r="H37" s="98"/>
      <c r="I37" s="98"/>
      <c r="J37" s="96"/>
      <c r="K37" s="98"/>
      <c r="L37" s="98"/>
      <c r="M37" s="98"/>
      <c r="N37" s="98"/>
      <c r="O37" s="98"/>
      <c r="P37" s="98"/>
      <c r="Q37" s="98"/>
      <c r="R37" s="98"/>
      <c r="S37" s="98"/>
      <c r="T37" s="98"/>
      <c r="U37" s="98"/>
      <c r="V37" s="96"/>
      <c r="W37" s="96"/>
    </row>
    <row r="39" spans="2:24" ht="15" customHeight="1" x14ac:dyDescent="0.2">
      <c r="M39" s="91"/>
      <c r="N39" s="91"/>
      <c r="O39" s="91"/>
      <c r="P39" s="91"/>
      <c r="Q39" s="91"/>
      <c r="R39" s="91"/>
      <c r="S39" s="91"/>
      <c r="V39" s="100"/>
      <c r="W39" s="100"/>
    </row>
    <row r="40" spans="2:24" x14ac:dyDescent="0.2">
      <c r="D40" s="91"/>
      <c r="E40" s="99"/>
      <c r="J40" s="86"/>
      <c r="K40" s="91"/>
      <c r="L40" s="91"/>
      <c r="V40" s="86"/>
    </row>
  </sheetData>
  <mergeCells count="23">
    <mergeCell ref="X5:X6"/>
    <mergeCell ref="V2:V4"/>
    <mergeCell ref="W2:W4"/>
    <mergeCell ref="E3:E4"/>
    <mergeCell ref="F3:F4"/>
    <mergeCell ref="G3:G4"/>
    <mergeCell ref="I3:I4"/>
    <mergeCell ref="M2:M4"/>
    <mergeCell ref="N2:O4"/>
    <mergeCell ref="P2:P4"/>
    <mergeCell ref="S2:S4"/>
    <mergeCell ref="T2:T3"/>
    <mergeCell ref="U2:U4"/>
    <mergeCell ref="B1:W1"/>
    <mergeCell ref="X1:X4"/>
    <mergeCell ref="Y1:Y4"/>
    <mergeCell ref="B2:B4"/>
    <mergeCell ref="C2:C4"/>
    <mergeCell ref="D2:D4"/>
    <mergeCell ref="E2:I2"/>
    <mergeCell ref="J2:J4"/>
    <mergeCell ref="K2:K4"/>
    <mergeCell ref="L2:L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5DA40-5013-4AC9-A412-B7B43F2033F2}">
  <dimension ref="B1:T39"/>
  <sheetViews>
    <sheetView zoomScale="85" zoomScaleNormal="85" workbookViewId="0">
      <selection sqref="A1:XFD1048576"/>
    </sheetView>
  </sheetViews>
  <sheetFormatPr defaultRowHeight="14.25" x14ac:dyDescent="0.2"/>
  <cols>
    <col min="1" max="1" width="9.140625" style="86"/>
    <col min="2" max="2" width="9.140625" style="91"/>
    <col min="3" max="3" width="20.42578125" style="91" customWidth="1"/>
    <col min="4" max="4" width="15.140625" style="99" hidden="1" customWidth="1"/>
    <col min="5" max="5" width="20.7109375" style="86" customWidth="1"/>
    <col min="6" max="6" width="11.85546875" style="86" customWidth="1"/>
    <col min="7" max="7" width="10.42578125" style="86" customWidth="1"/>
    <col min="8" max="8" width="13.42578125" style="86" customWidth="1"/>
    <col min="9" max="9" width="19.28515625" style="91" customWidth="1"/>
    <col min="10" max="10" width="19.28515625" style="86" customWidth="1"/>
    <col min="11" max="11" width="11.28515625" style="86" customWidth="1"/>
    <col min="12" max="12" width="7.28515625" style="86" customWidth="1"/>
    <col min="13" max="13" width="11.140625" style="86" customWidth="1"/>
    <col min="14" max="14" width="12.7109375" style="86" customWidth="1"/>
    <col min="15" max="15" width="16.140625" style="86" hidden="1" customWidth="1"/>
    <col min="16" max="17" width="8" style="86" customWidth="1"/>
    <col min="18" max="18" width="11" style="86" customWidth="1"/>
    <col min="19" max="19" width="16" style="91" customWidth="1"/>
    <col min="20" max="20" width="12.5703125" style="91" customWidth="1"/>
    <col min="21" max="16384" width="9.140625" style="86"/>
  </cols>
  <sheetData>
    <row r="1" spans="2:20" ht="24" thickBot="1" x14ac:dyDescent="0.4">
      <c r="B1" s="197" t="s">
        <v>176</v>
      </c>
      <c r="C1" s="198"/>
      <c r="D1" s="198"/>
      <c r="E1" s="198"/>
      <c r="F1" s="198"/>
      <c r="G1" s="198"/>
      <c r="H1" s="198"/>
      <c r="I1" s="198"/>
      <c r="J1" s="198"/>
      <c r="K1" s="198"/>
      <c r="L1" s="198"/>
      <c r="M1" s="198"/>
      <c r="N1" s="198"/>
      <c r="O1" s="198"/>
      <c r="P1" s="198"/>
      <c r="Q1" s="198"/>
      <c r="R1" s="198"/>
      <c r="S1" s="198"/>
      <c r="T1" s="198"/>
    </row>
    <row r="2" spans="2:20" ht="15" customHeight="1" thickBot="1" x14ac:dyDescent="0.25">
      <c r="B2" s="171" t="s">
        <v>1</v>
      </c>
      <c r="C2" s="174" t="s">
        <v>2</v>
      </c>
      <c r="D2" s="184" t="s">
        <v>66</v>
      </c>
      <c r="E2" s="168" t="s">
        <v>3</v>
      </c>
      <c r="F2" s="169"/>
      <c r="G2" s="169"/>
      <c r="H2" s="170"/>
      <c r="I2" s="165" t="s">
        <v>4</v>
      </c>
      <c r="J2" s="165" t="s">
        <v>5</v>
      </c>
      <c r="K2" s="165" t="s">
        <v>6</v>
      </c>
      <c r="L2" s="181" t="s">
        <v>7</v>
      </c>
      <c r="M2" s="165" t="s">
        <v>8</v>
      </c>
      <c r="N2" s="181" t="s">
        <v>9</v>
      </c>
      <c r="O2" s="165" t="s">
        <v>10</v>
      </c>
      <c r="P2" s="83" t="s">
        <v>11</v>
      </c>
      <c r="Q2" s="162"/>
      <c r="R2" s="162" t="s">
        <v>12</v>
      </c>
      <c r="S2" s="194" t="s">
        <v>13</v>
      </c>
      <c r="T2" s="199" t="s">
        <v>14</v>
      </c>
    </row>
    <row r="3" spans="2:20" ht="48" customHeight="1" thickBot="1" x14ac:dyDescent="0.25">
      <c r="B3" s="172"/>
      <c r="C3" s="175"/>
      <c r="D3" s="185"/>
      <c r="E3" s="177" t="s">
        <v>18</v>
      </c>
      <c r="F3" s="177" t="s">
        <v>68</v>
      </c>
      <c r="G3" s="179" t="s">
        <v>20</v>
      </c>
      <c r="H3" s="177" t="s">
        <v>21</v>
      </c>
      <c r="I3" s="166"/>
      <c r="J3" s="166"/>
      <c r="K3" s="166"/>
      <c r="L3" s="182"/>
      <c r="M3" s="166"/>
      <c r="N3" s="182"/>
      <c r="O3" s="166"/>
      <c r="P3" s="163"/>
      <c r="Q3" s="164"/>
      <c r="R3" s="164"/>
      <c r="S3" s="195"/>
      <c r="T3" s="200"/>
    </row>
    <row r="4" spans="2:20" ht="16.5" thickBot="1" x14ac:dyDescent="0.25">
      <c r="B4" s="173"/>
      <c r="C4" s="176"/>
      <c r="D4" s="186"/>
      <c r="E4" s="178"/>
      <c r="F4" s="178"/>
      <c r="G4" s="180"/>
      <c r="H4" s="178"/>
      <c r="I4" s="167"/>
      <c r="J4" s="167"/>
      <c r="K4" s="167"/>
      <c r="L4" s="183"/>
      <c r="M4" s="167"/>
      <c r="N4" s="183"/>
      <c r="O4" s="167"/>
      <c r="P4" s="124" t="s">
        <v>69</v>
      </c>
      <c r="Q4" s="123" t="s">
        <v>70</v>
      </c>
      <c r="R4" s="193"/>
      <c r="S4" s="196"/>
      <c r="T4" s="201"/>
    </row>
    <row r="5" spans="2:20" ht="22.5" customHeight="1" x14ac:dyDescent="0.2">
      <c r="B5" s="122">
        <v>1</v>
      </c>
      <c r="C5" s="102" t="s">
        <v>35</v>
      </c>
      <c r="D5" s="88"/>
      <c r="E5" s="105">
        <v>8.5</v>
      </c>
      <c r="F5" s="105">
        <v>0</v>
      </c>
      <c r="G5" s="106">
        <f>SUM($E5:$F5)</f>
        <v>8.5</v>
      </c>
      <c r="H5" s="105">
        <v>4</v>
      </c>
      <c r="I5" s="107">
        <v>1</v>
      </c>
      <c r="J5" s="107">
        <v>0</v>
      </c>
      <c r="K5" s="107">
        <v>2</v>
      </c>
      <c r="L5" s="107">
        <v>1</v>
      </c>
      <c r="M5" s="107">
        <v>2</v>
      </c>
      <c r="N5" s="107">
        <v>0</v>
      </c>
      <c r="O5" s="107" t="s">
        <v>122</v>
      </c>
      <c r="P5" s="107">
        <v>0</v>
      </c>
      <c r="Q5" s="107">
        <v>0</v>
      </c>
      <c r="R5" s="107">
        <v>9</v>
      </c>
      <c r="S5" s="108">
        <v>13</v>
      </c>
      <c r="T5" s="202">
        <v>16</v>
      </c>
    </row>
    <row r="6" spans="2:20" ht="17.25" x14ac:dyDescent="0.3">
      <c r="B6" s="122">
        <v>2</v>
      </c>
      <c r="C6" s="280" t="s">
        <v>104</v>
      </c>
      <c r="D6" s="283"/>
      <c r="E6" s="113">
        <v>10.5</v>
      </c>
      <c r="F6" s="105">
        <v>0</v>
      </c>
      <c r="G6" s="106">
        <f t="shared" ref="G6:G35" si="0">SUM($E6:$F6)</f>
        <v>10.5</v>
      </c>
      <c r="H6" s="206">
        <v>0</v>
      </c>
      <c r="I6" s="107">
        <v>20</v>
      </c>
      <c r="J6" s="107">
        <v>0</v>
      </c>
      <c r="K6" s="107">
        <v>0</v>
      </c>
      <c r="L6" s="107">
        <v>20</v>
      </c>
      <c r="M6" s="107">
        <v>8</v>
      </c>
      <c r="N6" s="107">
        <v>0</v>
      </c>
      <c r="O6" s="107" t="s">
        <v>122</v>
      </c>
      <c r="P6" s="107">
        <v>1</v>
      </c>
      <c r="Q6" s="107">
        <v>0</v>
      </c>
      <c r="R6" s="114">
        <v>20</v>
      </c>
      <c r="S6" s="115">
        <v>30</v>
      </c>
      <c r="T6" s="205">
        <v>22</v>
      </c>
    </row>
    <row r="7" spans="2:20" ht="17.25" x14ac:dyDescent="0.3">
      <c r="B7" s="122">
        <v>3</v>
      </c>
      <c r="C7" s="103" t="s">
        <v>107</v>
      </c>
      <c r="D7" s="283"/>
      <c r="E7" s="113">
        <v>1</v>
      </c>
      <c r="F7" s="105">
        <v>0</v>
      </c>
      <c r="G7" s="106">
        <f t="shared" si="0"/>
        <v>1</v>
      </c>
      <c r="H7" s="206">
        <v>4</v>
      </c>
      <c r="I7" s="107">
        <v>4</v>
      </c>
      <c r="J7" s="107">
        <v>0</v>
      </c>
      <c r="K7" s="107">
        <v>2</v>
      </c>
      <c r="L7" s="107">
        <v>4</v>
      </c>
      <c r="M7" s="107">
        <v>3</v>
      </c>
      <c r="N7" s="107">
        <v>0</v>
      </c>
      <c r="O7" s="107" t="s">
        <v>122</v>
      </c>
      <c r="P7" s="107">
        <v>3</v>
      </c>
      <c r="Q7" s="107">
        <v>0</v>
      </c>
      <c r="R7" s="114">
        <v>13</v>
      </c>
      <c r="S7" s="115">
        <v>26</v>
      </c>
      <c r="T7" s="205">
        <v>23</v>
      </c>
    </row>
    <row r="8" spans="2:20" ht="17.25" x14ac:dyDescent="0.3">
      <c r="B8" s="122">
        <v>4</v>
      </c>
      <c r="C8" s="103" t="s">
        <v>55</v>
      </c>
      <c r="D8" s="89"/>
      <c r="E8" s="105">
        <v>5</v>
      </c>
      <c r="F8" s="105">
        <v>0</v>
      </c>
      <c r="G8" s="106">
        <f t="shared" si="0"/>
        <v>5</v>
      </c>
      <c r="H8" s="105">
        <v>1</v>
      </c>
      <c r="I8" s="107">
        <v>2</v>
      </c>
      <c r="J8" s="107">
        <v>0</v>
      </c>
      <c r="K8" s="107">
        <v>0</v>
      </c>
      <c r="L8" s="107">
        <v>0</v>
      </c>
      <c r="M8" s="107">
        <v>0</v>
      </c>
      <c r="N8" s="107">
        <v>0</v>
      </c>
      <c r="O8" s="107" t="s">
        <v>122</v>
      </c>
      <c r="P8" s="107">
        <v>3</v>
      </c>
      <c r="Q8" s="107">
        <v>0</v>
      </c>
      <c r="R8" s="107">
        <v>4</v>
      </c>
      <c r="S8" s="115">
        <v>10</v>
      </c>
      <c r="T8" s="205">
        <v>13</v>
      </c>
    </row>
    <row r="9" spans="2:20" ht="17.25" x14ac:dyDescent="0.3">
      <c r="B9" s="122">
        <v>5</v>
      </c>
      <c r="C9" s="103" t="s">
        <v>62</v>
      </c>
      <c r="D9" s="89"/>
      <c r="E9" s="105">
        <v>0</v>
      </c>
      <c r="F9" s="105">
        <v>0</v>
      </c>
      <c r="G9" s="106">
        <f t="shared" si="0"/>
        <v>0</v>
      </c>
      <c r="H9" s="105">
        <v>0</v>
      </c>
      <c r="I9" s="107">
        <v>0</v>
      </c>
      <c r="J9" s="107">
        <v>0</v>
      </c>
      <c r="K9" s="107">
        <v>0</v>
      </c>
      <c r="L9" s="107">
        <v>0</v>
      </c>
      <c r="M9" s="107">
        <v>0</v>
      </c>
      <c r="N9" s="107">
        <v>0</v>
      </c>
      <c r="O9" s="107" t="s">
        <v>122</v>
      </c>
      <c r="P9" s="107">
        <v>4.5</v>
      </c>
      <c r="Q9" s="107">
        <v>0</v>
      </c>
      <c r="R9" s="107">
        <v>0</v>
      </c>
      <c r="S9" s="115">
        <v>1</v>
      </c>
      <c r="T9" s="205">
        <v>1</v>
      </c>
    </row>
    <row r="10" spans="2:20" ht="17.25" x14ac:dyDescent="0.3">
      <c r="B10" s="122">
        <v>6</v>
      </c>
      <c r="C10" s="103" t="s">
        <v>99</v>
      </c>
      <c r="D10" s="283"/>
      <c r="E10" s="113">
        <v>4</v>
      </c>
      <c r="F10" s="105">
        <v>0</v>
      </c>
      <c r="G10" s="106">
        <f t="shared" si="0"/>
        <v>4</v>
      </c>
      <c r="H10" s="206">
        <v>2</v>
      </c>
      <c r="I10" s="107">
        <v>14</v>
      </c>
      <c r="J10" s="107">
        <v>0</v>
      </c>
      <c r="K10" s="107">
        <v>0</v>
      </c>
      <c r="L10" s="107">
        <v>1</v>
      </c>
      <c r="M10" s="107">
        <v>5</v>
      </c>
      <c r="N10" s="107">
        <v>0</v>
      </c>
      <c r="O10" s="107">
        <v>0</v>
      </c>
      <c r="P10" s="107">
        <v>1</v>
      </c>
      <c r="Q10" s="107">
        <v>0</v>
      </c>
      <c r="R10" s="107">
        <v>4</v>
      </c>
      <c r="S10" s="115">
        <v>27</v>
      </c>
      <c r="T10" s="205">
        <v>14</v>
      </c>
    </row>
    <row r="11" spans="2:20" ht="17.25" x14ac:dyDescent="0.3">
      <c r="B11" s="122">
        <v>7</v>
      </c>
      <c r="C11" s="104" t="s">
        <v>128</v>
      </c>
      <c r="D11" s="89"/>
      <c r="E11" s="113">
        <v>2</v>
      </c>
      <c r="F11" s="105">
        <v>0</v>
      </c>
      <c r="G11" s="106">
        <f t="shared" si="0"/>
        <v>2</v>
      </c>
      <c r="H11" s="113">
        <v>3</v>
      </c>
      <c r="I11" s="107">
        <v>8</v>
      </c>
      <c r="J11" s="107">
        <v>0</v>
      </c>
      <c r="K11" s="107">
        <v>0</v>
      </c>
      <c r="L11" s="107">
        <v>4</v>
      </c>
      <c r="M11" s="107">
        <v>0</v>
      </c>
      <c r="N11" s="107">
        <v>0</v>
      </c>
      <c r="O11" s="107" t="s">
        <v>122</v>
      </c>
      <c r="P11" s="107">
        <v>0.5</v>
      </c>
      <c r="Q11" s="107">
        <v>0</v>
      </c>
      <c r="R11" s="107">
        <v>2</v>
      </c>
      <c r="S11" s="115">
        <v>7</v>
      </c>
      <c r="T11" s="205">
        <v>6</v>
      </c>
    </row>
    <row r="12" spans="2:20" ht="17.25" x14ac:dyDescent="0.3">
      <c r="B12" s="122">
        <v>8</v>
      </c>
      <c r="C12" s="104" t="s">
        <v>129</v>
      </c>
      <c r="D12" s="89"/>
      <c r="E12" s="113">
        <v>1</v>
      </c>
      <c r="F12" s="105">
        <v>1</v>
      </c>
      <c r="G12" s="106">
        <f t="shared" si="0"/>
        <v>2</v>
      </c>
      <c r="H12" s="105">
        <v>2</v>
      </c>
      <c r="I12" s="107">
        <v>12</v>
      </c>
      <c r="J12" s="107">
        <v>0</v>
      </c>
      <c r="K12" s="107">
        <v>0</v>
      </c>
      <c r="L12" s="107">
        <v>2</v>
      </c>
      <c r="M12" s="107">
        <v>2</v>
      </c>
      <c r="N12" s="107">
        <v>0</v>
      </c>
      <c r="O12" s="107" t="s">
        <v>122</v>
      </c>
      <c r="P12" s="107">
        <v>0</v>
      </c>
      <c r="Q12" s="107">
        <v>0</v>
      </c>
      <c r="R12" s="107">
        <v>7</v>
      </c>
      <c r="S12" s="115">
        <v>16</v>
      </c>
      <c r="T12" s="205">
        <v>25</v>
      </c>
    </row>
    <row r="13" spans="2:20" ht="17.25" x14ac:dyDescent="0.3">
      <c r="B13" s="122">
        <v>9</v>
      </c>
      <c r="C13" s="103" t="s">
        <v>130</v>
      </c>
      <c r="D13" s="283"/>
      <c r="E13" s="113">
        <v>1</v>
      </c>
      <c r="F13" s="105">
        <v>2</v>
      </c>
      <c r="G13" s="106">
        <f t="shared" si="0"/>
        <v>3</v>
      </c>
      <c r="H13" s="105">
        <v>6</v>
      </c>
      <c r="I13" s="107">
        <v>16</v>
      </c>
      <c r="J13" s="107">
        <v>0</v>
      </c>
      <c r="K13" s="107">
        <v>0</v>
      </c>
      <c r="L13" s="107">
        <v>2</v>
      </c>
      <c r="M13" s="107">
        <v>1</v>
      </c>
      <c r="N13" s="107">
        <v>0</v>
      </c>
      <c r="O13" s="107">
        <v>0</v>
      </c>
      <c r="P13" s="107">
        <v>0.5</v>
      </c>
      <c r="Q13" s="107">
        <v>0</v>
      </c>
      <c r="R13" s="107">
        <v>9</v>
      </c>
      <c r="S13" s="115">
        <v>20</v>
      </c>
      <c r="T13" s="205">
        <v>10</v>
      </c>
    </row>
    <row r="14" spans="2:20" ht="17.25" x14ac:dyDescent="0.3">
      <c r="B14" s="122">
        <v>10</v>
      </c>
      <c r="C14" s="103" t="s">
        <v>30</v>
      </c>
      <c r="D14" s="283"/>
      <c r="E14" s="113">
        <v>4</v>
      </c>
      <c r="F14" s="105">
        <v>0</v>
      </c>
      <c r="G14" s="106">
        <f t="shared" si="0"/>
        <v>4</v>
      </c>
      <c r="H14" s="105">
        <v>0</v>
      </c>
      <c r="I14" s="107">
        <v>0</v>
      </c>
      <c r="J14" s="107">
        <v>0</v>
      </c>
      <c r="K14" s="107">
        <v>0</v>
      </c>
      <c r="L14" s="107">
        <v>0</v>
      </c>
      <c r="M14" s="107">
        <v>3</v>
      </c>
      <c r="N14" s="107">
        <v>0</v>
      </c>
      <c r="O14" s="107" t="s">
        <v>122</v>
      </c>
      <c r="P14" s="114">
        <v>1</v>
      </c>
      <c r="Q14" s="107">
        <v>0</v>
      </c>
      <c r="R14" s="114">
        <v>11</v>
      </c>
      <c r="S14" s="115">
        <v>18</v>
      </c>
      <c r="T14" s="205">
        <v>29</v>
      </c>
    </row>
    <row r="15" spans="2:20" ht="17.25" x14ac:dyDescent="0.3">
      <c r="B15" s="122">
        <v>11</v>
      </c>
      <c r="C15" s="103" t="s">
        <v>61</v>
      </c>
      <c r="D15" s="89"/>
      <c r="E15" s="113">
        <v>7</v>
      </c>
      <c r="F15" s="105">
        <v>0</v>
      </c>
      <c r="G15" s="106">
        <f t="shared" si="0"/>
        <v>7</v>
      </c>
      <c r="H15" s="105">
        <v>1</v>
      </c>
      <c r="I15" s="107">
        <v>1</v>
      </c>
      <c r="J15" s="107">
        <v>0</v>
      </c>
      <c r="K15" s="107">
        <v>0</v>
      </c>
      <c r="L15" s="107">
        <v>0</v>
      </c>
      <c r="M15" s="107">
        <v>0</v>
      </c>
      <c r="N15" s="107">
        <v>0</v>
      </c>
      <c r="O15" s="107" t="s">
        <v>122</v>
      </c>
      <c r="P15" s="107">
        <v>3.5</v>
      </c>
      <c r="Q15" s="107">
        <v>0</v>
      </c>
      <c r="R15" s="107">
        <v>4</v>
      </c>
      <c r="S15" s="115">
        <v>7</v>
      </c>
      <c r="T15" s="205">
        <v>9</v>
      </c>
    </row>
    <row r="16" spans="2:20" ht="18.75" customHeight="1" x14ac:dyDescent="0.3">
      <c r="B16" s="122">
        <v>12</v>
      </c>
      <c r="C16" s="103" t="s">
        <v>63</v>
      </c>
      <c r="D16" s="89"/>
      <c r="E16" s="105">
        <v>0.5</v>
      </c>
      <c r="F16" s="105">
        <v>0</v>
      </c>
      <c r="G16" s="106">
        <f t="shared" si="0"/>
        <v>0.5</v>
      </c>
      <c r="H16" s="105">
        <v>2</v>
      </c>
      <c r="I16" s="107">
        <v>9</v>
      </c>
      <c r="J16" s="107">
        <v>0</v>
      </c>
      <c r="K16" s="107">
        <v>0</v>
      </c>
      <c r="L16" s="107">
        <v>0</v>
      </c>
      <c r="M16" s="107">
        <v>1</v>
      </c>
      <c r="N16" s="107">
        <v>0</v>
      </c>
      <c r="O16" s="107" t="s">
        <v>122</v>
      </c>
      <c r="P16" s="107">
        <v>1</v>
      </c>
      <c r="Q16" s="107">
        <v>0</v>
      </c>
      <c r="R16" s="107">
        <v>5</v>
      </c>
      <c r="S16" s="115">
        <v>10</v>
      </c>
      <c r="T16" s="205">
        <v>24</v>
      </c>
    </row>
    <row r="17" spans="2:20" ht="17.25" x14ac:dyDescent="0.3">
      <c r="B17" s="122">
        <v>13</v>
      </c>
      <c r="C17" s="103" t="s">
        <v>44</v>
      </c>
      <c r="D17" s="89"/>
      <c r="E17" s="113">
        <v>2</v>
      </c>
      <c r="F17" s="105">
        <v>0</v>
      </c>
      <c r="G17" s="106">
        <f t="shared" si="0"/>
        <v>2</v>
      </c>
      <c r="H17" s="116">
        <v>1</v>
      </c>
      <c r="I17" s="107">
        <v>0</v>
      </c>
      <c r="J17" s="107">
        <v>0</v>
      </c>
      <c r="K17" s="107">
        <v>0</v>
      </c>
      <c r="L17" s="107">
        <v>0</v>
      </c>
      <c r="M17" s="107">
        <v>0</v>
      </c>
      <c r="N17" s="107">
        <v>0</v>
      </c>
      <c r="O17" s="107">
        <v>0</v>
      </c>
      <c r="P17" s="107">
        <v>0</v>
      </c>
      <c r="Q17" s="107">
        <v>0</v>
      </c>
      <c r="R17" s="114">
        <v>3</v>
      </c>
      <c r="S17" s="115">
        <v>4</v>
      </c>
      <c r="T17" s="205">
        <v>7</v>
      </c>
    </row>
    <row r="18" spans="2:20" ht="17.25" x14ac:dyDescent="0.3">
      <c r="B18" s="122">
        <v>14</v>
      </c>
      <c r="C18" s="103" t="s">
        <v>125</v>
      </c>
      <c r="D18" s="89"/>
      <c r="E18" s="113">
        <v>2</v>
      </c>
      <c r="F18" s="105">
        <v>0</v>
      </c>
      <c r="G18" s="106">
        <f t="shared" si="0"/>
        <v>2</v>
      </c>
      <c r="H18" s="105">
        <v>2</v>
      </c>
      <c r="I18" s="107">
        <v>3</v>
      </c>
      <c r="J18" s="107">
        <v>0</v>
      </c>
      <c r="K18" s="107">
        <v>0</v>
      </c>
      <c r="L18" s="107">
        <v>2</v>
      </c>
      <c r="M18" s="107">
        <v>4</v>
      </c>
      <c r="N18" s="107">
        <v>0</v>
      </c>
      <c r="O18" s="107" t="s">
        <v>177</v>
      </c>
      <c r="P18" s="107">
        <v>0</v>
      </c>
      <c r="Q18" s="107">
        <v>0</v>
      </c>
      <c r="R18" s="107">
        <v>8</v>
      </c>
      <c r="S18" s="115">
        <v>11</v>
      </c>
      <c r="T18" s="205">
        <v>13</v>
      </c>
    </row>
    <row r="19" spans="2:20" ht="17.25" x14ac:dyDescent="0.3">
      <c r="B19" s="122">
        <v>15</v>
      </c>
      <c r="C19" s="103" t="s">
        <v>49</v>
      </c>
      <c r="D19" s="89"/>
      <c r="E19" s="113">
        <v>2</v>
      </c>
      <c r="F19" s="105">
        <v>0</v>
      </c>
      <c r="G19" s="106">
        <f t="shared" si="0"/>
        <v>2</v>
      </c>
      <c r="H19" s="105">
        <v>4</v>
      </c>
      <c r="I19" s="107">
        <v>0</v>
      </c>
      <c r="J19" s="107">
        <v>0</v>
      </c>
      <c r="K19" s="107">
        <v>0</v>
      </c>
      <c r="L19" s="107">
        <v>0</v>
      </c>
      <c r="M19" s="107">
        <v>0</v>
      </c>
      <c r="N19" s="107">
        <v>0</v>
      </c>
      <c r="O19" s="107" t="s">
        <v>178</v>
      </c>
      <c r="P19" s="107">
        <v>2</v>
      </c>
      <c r="Q19" s="107">
        <v>0</v>
      </c>
      <c r="R19" s="107">
        <v>6</v>
      </c>
      <c r="S19" s="115">
        <v>9</v>
      </c>
      <c r="T19" s="205">
        <v>15</v>
      </c>
    </row>
    <row r="20" spans="2:20" ht="17.25" x14ac:dyDescent="0.3">
      <c r="B20" s="122">
        <v>16</v>
      </c>
      <c r="C20" s="104" t="s">
        <v>126</v>
      </c>
      <c r="D20" s="89"/>
      <c r="E20" s="105">
        <v>1</v>
      </c>
      <c r="F20" s="105">
        <v>0</v>
      </c>
      <c r="G20" s="106">
        <f t="shared" si="0"/>
        <v>1</v>
      </c>
      <c r="H20" s="105">
        <v>0</v>
      </c>
      <c r="I20" s="107">
        <v>3</v>
      </c>
      <c r="J20" s="107">
        <v>0</v>
      </c>
      <c r="K20" s="107">
        <v>0</v>
      </c>
      <c r="L20" s="107">
        <v>3</v>
      </c>
      <c r="M20" s="107">
        <v>0</v>
      </c>
      <c r="N20" s="107">
        <v>0</v>
      </c>
      <c r="O20" s="107"/>
      <c r="P20" s="107">
        <v>1</v>
      </c>
      <c r="Q20" s="107">
        <v>0</v>
      </c>
      <c r="R20" s="107">
        <v>5</v>
      </c>
      <c r="S20" s="115">
        <v>5</v>
      </c>
      <c r="T20" s="205">
        <v>7</v>
      </c>
    </row>
    <row r="21" spans="2:20" ht="17.25" x14ac:dyDescent="0.3">
      <c r="B21" s="122">
        <v>17</v>
      </c>
      <c r="C21" s="103" t="s">
        <v>77</v>
      </c>
      <c r="D21" s="283"/>
      <c r="E21" s="113">
        <v>3</v>
      </c>
      <c r="F21" s="105">
        <v>0</v>
      </c>
      <c r="G21" s="106">
        <f t="shared" si="0"/>
        <v>3</v>
      </c>
      <c r="H21" s="105">
        <v>0</v>
      </c>
      <c r="I21" s="107">
        <v>5</v>
      </c>
      <c r="J21" s="107">
        <v>0</v>
      </c>
      <c r="K21" s="107">
        <v>0</v>
      </c>
      <c r="L21" s="107">
        <v>0</v>
      </c>
      <c r="M21" s="107">
        <v>2</v>
      </c>
      <c r="N21" s="107">
        <v>0</v>
      </c>
      <c r="O21" s="107">
        <v>0</v>
      </c>
      <c r="P21" s="107">
        <v>3</v>
      </c>
      <c r="Q21" s="107">
        <v>0</v>
      </c>
      <c r="R21" s="114">
        <v>8</v>
      </c>
      <c r="S21" s="115">
        <v>23</v>
      </c>
      <c r="T21" s="205">
        <v>18</v>
      </c>
    </row>
    <row r="22" spans="2:20" ht="17.25" x14ac:dyDescent="0.3">
      <c r="B22" s="122">
        <v>18</v>
      </c>
      <c r="C22" s="104" t="s">
        <v>112</v>
      </c>
      <c r="D22" s="89"/>
      <c r="E22" s="113">
        <v>1</v>
      </c>
      <c r="F22" s="105">
        <v>0</v>
      </c>
      <c r="G22" s="106">
        <f t="shared" si="0"/>
        <v>1</v>
      </c>
      <c r="H22" s="105">
        <v>4</v>
      </c>
      <c r="I22" s="107">
        <v>0</v>
      </c>
      <c r="J22" s="107">
        <v>0</v>
      </c>
      <c r="K22" s="107">
        <v>0</v>
      </c>
      <c r="L22" s="107">
        <v>0</v>
      </c>
      <c r="M22" s="107">
        <v>0</v>
      </c>
      <c r="N22" s="107">
        <v>0</v>
      </c>
      <c r="O22" s="107" t="s">
        <v>122</v>
      </c>
      <c r="P22" s="107">
        <v>2</v>
      </c>
      <c r="Q22" s="107">
        <v>0</v>
      </c>
      <c r="R22" s="107">
        <v>2</v>
      </c>
      <c r="S22" s="115">
        <v>6</v>
      </c>
      <c r="T22" s="205">
        <v>10</v>
      </c>
    </row>
    <row r="23" spans="2:20" s="91" customFormat="1" ht="17.25" x14ac:dyDescent="0.3">
      <c r="B23" s="122">
        <v>19</v>
      </c>
      <c r="C23" s="208" t="s">
        <v>113</v>
      </c>
      <c r="D23" s="125"/>
      <c r="E23" s="105">
        <v>0.5</v>
      </c>
      <c r="F23" s="105">
        <v>1</v>
      </c>
      <c r="G23" s="106">
        <f>SUM($E23:$F23)</f>
        <v>1.5</v>
      </c>
      <c r="H23" s="105">
        <v>0</v>
      </c>
      <c r="I23" s="107">
        <v>0</v>
      </c>
      <c r="J23" s="107">
        <v>0</v>
      </c>
      <c r="K23" s="107">
        <v>0</v>
      </c>
      <c r="L23" s="107">
        <v>0</v>
      </c>
      <c r="M23" s="107">
        <v>0</v>
      </c>
      <c r="N23" s="107">
        <v>0</v>
      </c>
      <c r="O23" s="107" t="s">
        <v>122</v>
      </c>
      <c r="P23" s="107">
        <v>2.5</v>
      </c>
      <c r="Q23" s="107">
        <v>0</v>
      </c>
      <c r="R23" s="107">
        <v>2</v>
      </c>
      <c r="S23" s="212">
        <v>2</v>
      </c>
      <c r="T23" s="213">
        <v>6</v>
      </c>
    </row>
    <row r="24" spans="2:20" s="91" customFormat="1" ht="17.25" x14ac:dyDescent="0.3">
      <c r="B24" s="122">
        <v>20</v>
      </c>
      <c r="C24" s="208" t="s">
        <v>137</v>
      </c>
      <c r="D24" s="125"/>
      <c r="E24" s="105">
        <v>1</v>
      </c>
      <c r="F24" s="105">
        <v>1</v>
      </c>
      <c r="G24" s="106">
        <f t="shared" si="0"/>
        <v>2</v>
      </c>
      <c r="H24" s="105">
        <v>0</v>
      </c>
      <c r="I24" s="107">
        <v>3</v>
      </c>
      <c r="J24" s="107">
        <v>0</v>
      </c>
      <c r="K24" s="107">
        <v>0</v>
      </c>
      <c r="L24" s="107">
        <v>3</v>
      </c>
      <c r="M24" s="107">
        <v>2</v>
      </c>
      <c r="N24" s="107">
        <v>3</v>
      </c>
      <c r="O24" s="107" t="s">
        <v>121</v>
      </c>
      <c r="P24" s="107">
        <v>0</v>
      </c>
      <c r="Q24" s="107">
        <v>0</v>
      </c>
      <c r="R24" s="107">
        <v>0</v>
      </c>
      <c r="S24" s="227">
        <v>0</v>
      </c>
      <c r="T24" s="213">
        <v>1</v>
      </c>
    </row>
    <row r="25" spans="2:20" s="91" customFormat="1" ht="17.25" x14ac:dyDescent="0.3">
      <c r="B25" s="122">
        <v>21</v>
      </c>
      <c r="C25" s="214" t="s">
        <v>114</v>
      </c>
      <c r="D25" s="89"/>
      <c r="E25" s="105">
        <v>0</v>
      </c>
      <c r="F25" s="105">
        <v>0</v>
      </c>
      <c r="G25" s="106">
        <f t="shared" si="0"/>
        <v>0</v>
      </c>
      <c r="H25" s="105">
        <v>0</v>
      </c>
      <c r="I25" s="107">
        <v>15</v>
      </c>
      <c r="J25" s="107">
        <v>0</v>
      </c>
      <c r="K25" s="107">
        <v>0</v>
      </c>
      <c r="L25" s="107">
        <v>15</v>
      </c>
      <c r="M25" s="107">
        <v>1</v>
      </c>
      <c r="N25" s="107">
        <v>0</v>
      </c>
      <c r="O25" s="107" t="s">
        <v>122</v>
      </c>
      <c r="P25" s="107">
        <v>3</v>
      </c>
      <c r="Q25" s="107">
        <v>0</v>
      </c>
      <c r="R25" s="107">
        <v>0</v>
      </c>
      <c r="S25" s="205">
        <v>0</v>
      </c>
      <c r="T25" s="205">
        <v>0</v>
      </c>
    </row>
    <row r="26" spans="2:20" s="91" customFormat="1" ht="17.25" x14ac:dyDescent="0.3">
      <c r="B26" s="122">
        <v>22</v>
      </c>
      <c r="C26" s="214" t="s">
        <v>138</v>
      </c>
      <c r="D26" s="89"/>
      <c r="E26" s="105">
        <v>2</v>
      </c>
      <c r="F26" s="105">
        <v>1</v>
      </c>
      <c r="G26" s="106">
        <f t="shared" si="0"/>
        <v>3</v>
      </c>
      <c r="H26" s="105">
        <v>4</v>
      </c>
      <c r="I26" s="107">
        <v>8</v>
      </c>
      <c r="J26" s="107">
        <v>0</v>
      </c>
      <c r="K26" s="107">
        <v>0</v>
      </c>
      <c r="L26" s="107">
        <v>3</v>
      </c>
      <c r="M26" s="107">
        <v>2</v>
      </c>
      <c r="N26" s="107">
        <v>0</v>
      </c>
      <c r="O26" s="107"/>
      <c r="P26" s="107">
        <v>0</v>
      </c>
      <c r="Q26" s="107">
        <v>0</v>
      </c>
      <c r="R26" s="107">
        <v>5</v>
      </c>
      <c r="S26" s="205">
        <v>15</v>
      </c>
      <c r="T26" s="205">
        <v>19</v>
      </c>
    </row>
    <row r="27" spans="2:20" s="91" customFormat="1" ht="17.25" customHeight="1" x14ac:dyDescent="0.3">
      <c r="B27" s="122">
        <v>23</v>
      </c>
      <c r="C27" s="214" t="s">
        <v>139</v>
      </c>
      <c r="D27" s="89"/>
      <c r="E27" s="105">
        <v>1</v>
      </c>
      <c r="F27" s="105">
        <v>1</v>
      </c>
      <c r="G27" s="106">
        <f t="shared" si="0"/>
        <v>2</v>
      </c>
      <c r="H27" s="105">
        <v>0</v>
      </c>
      <c r="I27" s="107">
        <v>4</v>
      </c>
      <c r="J27" s="107">
        <v>0</v>
      </c>
      <c r="K27" s="107">
        <v>0</v>
      </c>
      <c r="L27" s="107">
        <v>7</v>
      </c>
      <c r="M27" s="107">
        <v>2</v>
      </c>
      <c r="N27" s="107">
        <v>0</v>
      </c>
      <c r="O27" s="107">
        <v>0</v>
      </c>
      <c r="P27" s="107">
        <v>0</v>
      </c>
      <c r="Q27" s="107">
        <v>0</v>
      </c>
      <c r="R27" s="107">
        <v>8</v>
      </c>
      <c r="S27" s="205">
        <v>16</v>
      </c>
      <c r="T27" s="205">
        <v>16</v>
      </c>
    </row>
    <row r="28" spans="2:20" s="91" customFormat="1" ht="17.25" x14ac:dyDescent="0.3">
      <c r="B28" s="122">
        <v>24</v>
      </c>
      <c r="C28" s="214" t="s">
        <v>140</v>
      </c>
      <c r="D28" s="89"/>
      <c r="E28" s="105">
        <v>0</v>
      </c>
      <c r="F28" s="105">
        <v>0</v>
      </c>
      <c r="G28" s="106">
        <f t="shared" si="0"/>
        <v>0</v>
      </c>
      <c r="H28" s="105">
        <v>0</v>
      </c>
      <c r="I28" s="107">
        <v>13</v>
      </c>
      <c r="J28" s="107">
        <v>0</v>
      </c>
      <c r="K28" s="107">
        <v>0</v>
      </c>
      <c r="L28" s="107">
        <v>13</v>
      </c>
      <c r="M28" s="107">
        <v>1</v>
      </c>
      <c r="N28" s="107">
        <v>0</v>
      </c>
      <c r="O28" s="107" t="s">
        <v>122</v>
      </c>
      <c r="P28" s="107">
        <v>0.5</v>
      </c>
      <c r="Q28" s="107">
        <v>0</v>
      </c>
      <c r="R28" s="107">
        <v>0</v>
      </c>
      <c r="S28" s="205">
        <v>0</v>
      </c>
      <c r="T28" s="205">
        <v>5</v>
      </c>
    </row>
    <row r="29" spans="2:20" s="91" customFormat="1" ht="17.25" x14ac:dyDescent="0.3">
      <c r="B29" s="122">
        <v>25</v>
      </c>
      <c r="C29" s="214" t="s">
        <v>179</v>
      </c>
      <c r="D29" s="89"/>
      <c r="E29" s="105">
        <v>0</v>
      </c>
      <c r="F29" s="105">
        <v>0</v>
      </c>
      <c r="G29" s="106">
        <f t="shared" si="0"/>
        <v>0</v>
      </c>
      <c r="H29" s="105">
        <v>0</v>
      </c>
      <c r="I29" s="107">
        <v>0</v>
      </c>
      <c r="J29" s="107">
        <v>0</v>
      </c>
      <c r="K29" s="107">
        <v>0</v>
      </c>
      <c r="L29" s="107">
        <v>0</v>
      </c>
      <c r="M29" s="107">
        <v>0</v>
      </c>
      <c r="N29" s="107">
        <v>0</v>
      </c>
      <c r="O29" s="107" t="s">
        <v>122</v>
      </c>
      <c r="P29" s="278">
        <v>1</v>
      </c>
      <c r="Q29" s="107">
        <v>0</v>
      </c>
      <c r="R29" s="107">
        <v>0</v>
      </c>
      <c r="S29" s="205">
        <v>0</v>
      </c>
      <c r="T29" s="205">
        <v>0</v>
      </c>
    </row>
    <row r="30" spans="2:20" s="91" customFormat="1" ht="17.25" x14ac:dyDescent="0.3">
      <c r="B30" s="122">
        <v>26</v>
      </c>
      <c r="C30" s="214" t="s">
        <v>115</v>
      </c>
      <c r="D30" s="126"/>
      <c r="E30" s="105">
        <v>0</v>
      </c>
      <c r="F30" s="105">
        <v>0</v>
      </c>
      <c r="G30" s="106">
        <f t="shared" si="0"/>
        <v>0</v>
      </c>
      <c r="H30" s="105">
        <v>0</v>
      </c>
      <c r="I30" s="107">
        <v>9</v>
      </c>
      <c r="J30" s="107">
        <v>0</v>
      </c>
      <c r="K30" s="107">
        <v>0</v>
      </c>
      <c r="L30" s="107">
        <v>8</v>
      </c>
      <c r="M30" s="107">
        <v>0</v>
      </c>
      <c r="N30" s="107">
        <v>0</v>
      </c>
      <c r="O30" s="107" t="s">
        <v>122</v>
      </c>
      <c r="P30" s="119">
        <v>1</v>
      </c>
      <c r="Q30" s="107">
        <v>0</v>
      </c>
      <c r="R30" s="107">
        <v>0</v>
      </c>
      <c r="S30" s="205">
        <v>1</v>
      </c>
      <c r="T30" s="205">
        <v>5</v>
      </c>
    </row>
    <row r="31" spans="2:20" s="91" customFormat="1" ht="17.25" x14ac:dyDescent="0.3">
      <c r="B31" s="122">
        <v>28</v>
      </c>
      <c r="C31" s="214" t="s">
        <v>180</v>
      </c>
      <c r="D31" s="126"/>
      <c r="E31" s="105">
        <v>0</v>
      </c>
      <c r="F31" s="105">
        <v>0</v>
      </c>
      <c r="G31" s="106">
        <f t="shared" si="0"/>
        <v>0</v>
      </c>
      <c r="H31" s="105">
        <v>0</v>
      </c>
      <c r="I31" s="107">
        <v>2</v>
      </c>
      <c r="J31" s="107">
        <v>0</v>
      </c>
      <c r="K31" s="107">
        <v>0</v>
      </c>
      <c r="L31" s="107">
        <v>2</v>
      </c>
      <c r="M31" s="107">
        <v>0</v>
      </c>
      <c r="N31" s="107">
        <v>0</v>
      </c>
      <c r="O31" s="107">
        <v>0</v>
      </c>
      <c r="P31" s="107">
        <v>2.5</v>
      </c>
      <c r="Q31" s="107">
        <v>0</v>
      </c>
      <c r="R31" s="107">
        <v>0</v>
      </c>
      <c r="S31" s="120">
        <v>2</v>
      </c>
      <c r="T31" s="205">
        <v>0</v>
      </c>
    </row>
    <row r="32" spans="2:20" s="91" customFormat="1" ht="17.25" x14ac:dyDescent="0.3">
      <c r="B32" s="122">
        <v>29</v>
      </c>
      <c r="C32" s="214" t="s">
        <v>175</v>
      </c>
      <c r="D32" s="126"/>
      <c r="E32" s="105">
        <v>1</v>
      </c>
      <c r="F32" s="105">
        <v>0</v>
      </c>
      <c r="G32" s="106">
        <f t="shared" si="0"/>
        <v>1</v>
      </c>
      <c r="H32" s="105">
        <v>0</v>
      </c>
      <c r="I32" s="107">
        <v>18</v>
      </c>
      <c r="J32" s="107">
        <v>0</v>
      </c>
      <c r="K32" s="107">
        <v>0</v>
      </c>
      <c r="L32" s="107">
        <v>12</v>
      </c>
      <c r="M32" s="107">
        <v>4</v>
      </c>
      <c r="N32" s="107">
        <v>0</v>
      </c>
      <c r="O32" s="107" t="s">
        <v>122</v>
      </c>
      <c r="P32" s="107">
        <v>0</v>
      </c>
      <c r="Q32" s="107">
        <v>0</v>
      </c>
      <c r="R32" s="107">
        <v>0</v>
      </c>
      <c r="S32" s="120">
        <v>2</v>
      </c>
      <c r="T32" s="205">
        <v>0</v>
      </c>
    </row>
    <row r="33" spans="2:20" s="91" customFormat="1" ht="17.25" hidden="1" x14ac:dyDescent="0.3">
      <c r="B33" s="122">
        <v>30</v>
      </c>
      <c r="C33" s="214" t="s">
        <v>117</v>
      </c>
      <c r="D33" s="126"/>
      <c r="E33" s="105">
        <v>0</v>
      </c>
      <c r="F33" s="105">
        <v>0</v>
      </c>
      <c r="G33" s="106">
        <f t="shared" si="0"/>
        <v>0</v>
      </c>
      <c r="H33" s="105">
        <v>0</v>
      </c>
      <c r="I33" s="107">
        <v>0</v>
      </c>
      <c r="J33" s="107">
        <v>0</v>
      </c>
      <c r="K33" s="107">
        <v>0</v>
      </c>
      <c r="L33" s="107">
        <v>0</v>
      </c>
      <c r="M33" s="107">
        <v>0</v>
      </c>
      <c r="N33" s="107">
        <v>0</v>
      </c>
      <c r="O33" s="107"/>
      <c r="P33" s="107"/>
      <c r="Q33" s="107"/>
      <c r="R33" s="107"/>
      <c r="S33" s="120">
        <v>0</v>
      </c>
      <c r="T33" s="205">
        <v>2</v>
      </c>
    </row>
    <row r="34" spans="2:20" s="91" customFormat="1" ht="17.25" hidden="1" x14ac:dyDescent="0.3">
      <c r="B34" s="122">
        <v>31</v>
      </c>
      <c r="C34" s="214" t="s">
        <v>116</v>
      </c>
      <c r="D34" s="126"/>
      <c r="E34" s="105">
        <v>0</v>
      </c>
      <c r="F34" s="105">
        <v>0</v>
      </c>
      <c r="G34" s="106">
        <f t="shared" si="0"/>
        <v>0</v>
      </c>
      <c r="H34" s="105">
        <v>0</v>
      </c>
      <c r="I34" s="107">
        <v>0</v>
      </c>
      <c r="J34" s="107">
        <v>0</v>
      </c>
      <c r="K34" s="107">
        <v>0</v>
      </c>
      <c r="L34" s="107">
        <v>0</v>
      </c>
      <c r="M34" s="107">
        <v>0</v>
      </c>
      <c r="N34" s="107">
        <v>0</v>
      </c>
      <c r="O34" s="107"/>
      <c r="P34" s="107"/>
      <c r="Q34" s="107"/>
      <c r="R34" s="107"/>
      <c r="S34" s="120">
        <v>1</v>
      </c>
      <c r="T34" s="205">
        <v>2</v>
      </c>
    </row>
    <row r="35" spans="2:20" ht="15.75" thickBot="1" x14ac:dyDescent="0.25">
      <c r="B35" s="93"/>
      <c r="C35" s="94" t="s">
        <v>17</v>
      </c>
      <c r="D35" s="95">
        <f>SUM(D5:D23)</f>
        <v>0</v>
      </c>
      <c r="E35" s="121">
        <f>SUM(E5:E34)</f>
        <v>61</v>
      </c>
      <c r="F35" s="121">
        <f>SUM(F5:F34)</f>
        <v>7</v>
      </c>
      <c r="G35" s="121">
        <f t="shared" si="0"/>
        <v>68</v>
      </c>
      <c r="H35" s="121">
        <f>SUM(H5:H34)</f>
        <v>40</v>
      </c>
      <c r="I35" s="121">
        <f>SUM(I5:I30)</f>
        <v>150</v>
      </c>
      <c r="J35" s="121">
        <f>SUM(J5:J30)</f>
        <v>0</v>
      </c>
      <c r="K35" s="121">
        <f>SUM(K5:K34)</f>
        <v>4</v>
      </c>
      <c r="L35" s="121">
        <f t="shared" ref="L35:Q35" si="1">SUM(L5:L30)</f>
        <v>88</v>
      </c>
      <c r="M35" s="121">
        <f t="shared" si="1"/>
        <v>39</v>
      </c>
      <c r="N35" s="121">
        <f t="shared" si="1"/>
        <v>3</v>
      </c>
      <c r="O35" s="121">
        <f t="shared" si="1"/>
        <v>0</v>
      </c>
      <c r="P35" s="121">
        <f t="shared" si="1"/>
        <v>35</v>
      </c>
      <c r="Q35" s="121">
        <f t="shared" si="1"/>
        <v>0</v>
      </c>
      <c r="R35" s="121">
        <f>SUM(R5:R34)</f>
        <v>135</v>
      </c>
      <c r="S35" s="121">
        <f>SUM(S5:S34)</f>
        <v>282</v>
      </c>
      <c r="T35" s="121">
        <f>SUM(T5:T34)</f>
        <v>318</v>
      </c>
    </row>
    <row r="36" spans="2:20" ht="15" x14ac:dyDescent="0.2">
      <c r="B36" s="96"/>
      <c r="C36" s="96"/>
      <c r="D36" s="97"/>
      <c r="E36" s="98"/>
      <c r="F36" s="98"/>
      <c r="G36" s="98"/>
      <c r="H36" s="98"/>
      <c r="I36" s="96"/>
      <c r="J36" s="98"/>
      <c r="K36" s="98"/>
      <c r="L36" s="98"/>
      <c r="M36" s="98"/>
      <c r="N36" s="98"/>
      <c r="O36" s="98"/>
      <c r="P36" s="98"/>
      <c r="Q36" s="98"/>
      <c r="R36" s="98"/>
      <c r="S36" s="96"/>
      <c r="T36" s="96"/>
    </row>
    <row r="38" spans="2:20" x14ac:dyDescent="0.2">
      <c r="L38" s="91"/>
      <c r="M38" s="84"/>
      <c r="N38" s="84"/>
      <c r="O38" s="91"/>
      <c r="S38" s="100"/>
      <c r="T38" s="100"/>
    </row>
    <row r="39" spans="2:20" x14ac:dyDescent="0.2">
      <c r="D39" s="91"/>
      <c r="E39" s="99"/>
      <c r="I39" s="86"/>
      <c r="J39" s="91"/>
      <c r="K39" s="91"/>
      <c r="S39" s="86"/>
    </row>
  </sheetData>
  <mergeCells count="21">
    <mergeCell ref="E3:E4"/>
    <mergeCell ref="F3:F4"/>
    <mergeCell ref="G3:G4"/>
    <mergeCell ref="H3:H4"/>
    <mergeCell ref="M38:N38"/>
    <mergeCell ref="N2:N4"/>
    <mergeCell ref="O2:O4"/>
    <mergeCell ref="P2:Q3"/>
    <mergeCell ref="R2:R4"/>
    <mergeCell ref="S2:S4"/>
    <mergeCell ref="T2:T4"/>
    <mergeCell ref="B1:T1"/>
    <mergeCell ref="B2:B4"/>
    <mergeCell ref="C2:C4"/>
    <mergeCell ref="D2:D4"/>
    <mergeCell ref="E2:H2"/>
    <mergeCell ref="I2:I4"/>
    <mergeCell ref="J2:J4"/>
    <mergeCell ref="K2:K4"/>
    <mergeCell ref="L2:L4"/>
    <mergeCell ref="M2:M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E2B29-530B-4D78-AF4C-2A666F55BF33}">
  <dimension ref="B1:X41"/>
  <sheetViews>
    <sheetView tabSelected="1" zoomScale="70" zoomScaleNormal="70" workbookViewId="0">
      <selection activeCell="J14" sqref="J14"/>
    </sheetView>
  </sheetViews>
  <sheetFormatPr defaultRowHeight="15" x14ac:dyDescent="0.25"/>
  <cols>
    <col min="1" max="2" width="9.140625" style="85"/>
    <col min="3" max="3" width="20.42578125" style="85" customWidth="1"/>
    <col min="4" max="4" width="15.140625" style="85" hidden="1" customWidth="1"/>
    <col min="5" max="5" width="20.7109375" style="85" customWidth="1"/>
    <col min="6" max="6" width="11.85546875" style="85" customWidth="1"/>
    <col min="7" max="7" width="10.42578125" style="85" customWidth="1"/>
    <col min="8" max="8" width="13.42578125" style="85" customWidth="1"/>
    <col min="9" max="10" width="19.28515625" style="85" customWidth="1"/>
    <col min="11" max="11" width="11.28515625" style="85" customWidth="1"/>
    <col min="12" max="12" width="7.28515625" style="85" customWidth="1"/>
    <col min="13" max="13" width="11.140625" style="85" customWidth="1"/>
    <col min="14" max="14" width="12.7109375" style="85" customWidth="1"/>
    <col min="15" max="15" width="16.140625" style="85" hidden="1" customWidth="1"/>
    <col min="16" max="17" width="8" style="85" customWidth="1"/>
    <col min="18" max="18" width="11" style="85" customWidth="1"/>
    <col min="19" max="19" width="16" style="85" customWidth="1"/>
    <col min="20" max="20" width="12.5703125" style="85" customWidth="1"/>
    <col min="21" max="16384" width="9.140625" style="85"/>
  </cols>
  <sheetData>
    <row r="1" spans="2:24" s="154" customFormat="1" ht="23.25" x14ac:dyDescent="0.35">
      <c r="B1" s="284" t="s">
        <v>181</v>
      </c>
      <c r="C1" s="284"/>
      <c r="D1" s="284"/>
      <c r="E1" s="284"/>
      <c r="F1" s="284"/>
      <c r="G1" s="284"/>
      <c r="H1" s="284"/>
      <c r="I1" s="284"/>
      <c r="J1" s="284"/>
      <c r="K1" s="284"/>
      <c r="L1" s="284"/>
      <c r="M1" s="284"/>
      <c r="N1" s="284"/>
      <c r="O1" s="284"/>
      <c r="P1" s="284"/>
      <c r="Q1" s="284"/>
      <c r="R1" s="284"/>
      <c r="S1" s="284"/>
      <c r="T1" s="284"/>
    </row>
    <row r="2" spans="2:24" s="154" customFormat="1" ht="15" customHeight="1" x14ac:dyDescent="0.2">
      <c r="B2" s="285" t="s">
        <v>1</v>
      </c>
      <c r="C2" s="285" t="s">
        <v>2</v>
      </c>
      <c r="D2" s="286" t="s">
        <v>66</v>
      </c>
      <c r="E2" s="287" t="s">
        <v>3</v>
      </c>
      <c r="F2" s="287"/>
      <c r="G2" s="287"/>
      <c r="H2" s="287"/>
      <c r="I2" s="288" t="s">
        <v>4</v>
      </c>
      <c r="J2" s="288" t="s">
        <v>5</v>
      </c>
      <c r="K2" s="288" t="s">
        <v>6</v>
      </c>
      <c r="L2" s="289" t="s">
        <v>7</v>
      </c>
      <c r="M2" s="288" t="s">
        <v>8</v>
      </c>
      <c r="N2" s="289" t="s">
        <v>9</v>
      </c>
      <c r="O2" s="288" t="s">
        <v>10</v>
      </c>
      <c r="P2" s="289" t="s">
        <v>11</v>
      </c>
      <c r="Q2" s="289"/>
      <c r="R2" s="289" t="s">
        <v>12</v>
      </c>
      <c r="S2" s="290" t="s">
        <v>13</v>
      </c>
      <c r="T2" s="290" t="s">
        <v>14</v>
      </c>
      <c r="U2" s="291"/>
    </row>
    <row r="3" spans="2:24" s="154" customFormat="1" ht="48" customHeight="1" x14ac:dyDescent="0.2">
      <c r="B3" s="285"/>
      <c r="C3" s="285"/>
      <c r="D3" s="286"/>
      <c r="E3" s="287" t="s">
        <v>18</v>
      </c>
      <c r="F3" s="287" t="s">
        <v>68</v>
      </c>
      <c r="G3" s="292" t="s">
        <v>20</v>
      </c>
      <c r="H3" s="287" t="s">
        <v>21</v>
      </c>
      <c r="I3" s="288"/>
      <c r="J3" s="288"/>
      <c r="K3" s="288"/>
      <c r="L3" s="289"/>
      <c r="M3" s="288"/>
      <c r="N3" s="289"/>
      <c r="O3" s="288"/>
      <c r="P3" s="289"/>
      <c r="Q3" s="289"/>
      <c r="R3" s="289"/>
      <c r="S3" s="290"/>
      <c r="T3" s="290"/>
      <c r="U3" s="293"/>
    </row>
    <row r="4" spans="2:24" s="154" customFormat="1" ht="15.75" x14ac:dyDescent="0.2">
      <c r="B4" s="285"/>
      <c r="C4" s="285"/>
      <c r="D4" s="286"/>
      <c r="E4" s="287"/>
      <c r="F4" s="287"/>
      <c r="G4" s="292"/>
      <c r="H4" s="287"/>
      <c r="I4" s="288"/>
      <c r="J4" s="288"/>
      <c r="K4" s="288"/>
      <c r="L4" s="289"/>
      <c r="M4" s="288"/>
      <c r="N4" s="289"/>
      <c r="O4" s="288"/>
      <c r="P4" s="294" t="s">
        <v>69</v>
      </c>
      <c r="Q4" s="294" t="s">
        <v>70</v>
      </c>
      <c r="R4" s="289"/>
      <c r="S4" s="290"/>
      <c r="T4" s="290"/>
      <c r="U4" s="295"/>
    </row>
    <row r="5" spans="2:24" s="154" customFormat="1" ht="16.5" customHeight="1" x14ac:dyDescent="0.2">
      <c r="B5" s="87">
        <v>1</v>
      </c>
      <c r="C5" s="296" t="s">
        <v>35</v>
      </c>
      <c r="D5" s="126"/>
      <c r="E5" s="136">
        <v>1</v>
      </c>
      <c r="F5" s="136">
        <v>2</v>
      </c>
      <c r="G5" s="126">
        <f>SUM($E5:$F5)</f>
        <v>3</v>
      </c>
      <c r="H5" s="136">
        <v>2</v>
      </c>
      <c r="I5" s="297">
        <v>1</v>
      </c>
      <c r="J5" s="297">
        <v>0</v>
      </c>
      <c r="K5" s="297">
        <v>0</v>
      </c>
      <c r="L5" s="297">
        <v>1</v>
      </c>
      <c r="M5" s="297">
        <v>1</v>
      </c>
      <c r="N5" s="297">
        <v>0</v>
      </c>
      <c r="O5" s="297" t="s">
        <v>122</v>
      </c>
      <c r="P5" s="297">
        <v>0.5</v>
      </c>
      <c r="Q5" s="297"/>
      <c r="R5" s="297">
        <v>1</v>
      </c>
      <c r="S5" s="109">
        <v>1</v>
      </c>
      <c r="T5" s="109">
        <v>2</v>
      </c>
    </row>
    <row r="6" spans="2:24" s="154" customFormat="1" ht="15" customHeight="1" x14ac:dyDescent="0.3">
      <c r="B6" s="87">
        <v>2</v>
      </c>
      <c r="C6" s="214" t="s">
        <v>104</v>
      </c>
      <c r="D6" s="298"/>
      <c r="E6" s="118">
        <v>0</v>
      </c>
      <c r="F6" s="136">
        <v>0</v>
      </c>
      <c r="G6" s="126">
        <f t="shared" ref="G6:G31" si="0">SUM($E6:$F6)</f>
        <v>0</v>
      </c>
      <c r="H6" s="118">
        <v>0</v>
      </c>
      <c r="I6" s="297">
        <v>0</v>
      </c>
      <c r="J6" s="297">
        <v>0</v>
      </c>
      <c r="K6" s="297">
        <v>0</v>
      </c>
      <c r="L6" s="297">
        <v>0</v>
      </c>
      <c r="M6" s="297">
        <v>0</v>
      </c>
      <c r="N6" s="297">
        <v>0</v>
      </c>
      <c r="O6" s="297" t="s">
        <v>122</v>
      </c>
      <c r="P6" s="297">
        <f>-Q19</f>
        <v>0</v>
      </c>
      <c r="Q6" s="297"/>
      <c r="R6" s="299">
        <v>1</v>
      </c>
      <c r="S6" s="205">
        <v>4</v>
      </c>
      <c r="T6" s="205">
        <v>1</v>
      </c>
    </row>
    <row r="7" spans="2:24" s="154" customFormat="1" ht="18.75" customHeight="1" x14ac:dyDescent="0.3">
      <c r="B7" s="87">
        <v>3</v>
      </c>
      <c r="C7" s="300" t="s">
        <v>107</v>
      </c>
      <c r="D7" s="298"/>
      <c r="E7" s="118">
        <v>0.5</v>
      </c>
      <c r="F7" s="136">
        <v>4</v>
      </c>
      <c r="G7" s="126">
        <f t="shared" si="0"/>
        <v>4.5</v>
      </c>
      <c r="H7" s="118">
        <v>4</v>
      </c>
      <c r="I7" s="297">
        <v>1</v>
      </c>
      <c r="J7" s="297">
        <v>1</v>
      </c>
      <c r="K7" s="297">
        <v>0</v>
      </c>
      <c r="L7" s="297">
        <v>0</v>
      </c>
      <c r="M7" s="297">
        <v>1</v>
      </c>
      <c r="N7" s="297">
        <v>0</v>
      </c>
      <c r="O7" s="297" t="s">
        <v>122</v>
      </c>
      <c r="P7" s="297">
        <v>1</v>
      </c>
      <c r="Q7" s="297"/>
      <c r="R7" s="299">
        <v>8</v>
      </c>
      <c r="S7" s="205">
        <v>12</v>
      </c>
      <c r="T7" s="205">
        <v>6</v>
      </c>
    </row>
    <row r="8" spans="2:24" s="154" customFormat="1" ht="17.25" x14ac:dyDescent="0.3">
      <c r="B8" s="87">
        <v>4</v>
      </c>
      <c r="C8" s="300" t="s">
        <v>55</v>
      </c>
      <c r="D8" s="126"/>
      <c r="E8" s="136">
        <v>4</v>
      </c>
      <c r="F8" s="136">
        <v>0</v>
      </c>
      <c r="G8" s="126">
        <f t="shared" si="0"/>
        <v>4</v>
      </c>
      <c r="H8" s="136">
        <v>0</v>
      </c>
      <c r="I8" s="297">
        <v>0</v>
      </c>
      <c r="J8" s="297">
        <v>0</v>
      </c>
      <c r="K8" s="297">
        <v>0</v>
      </c>
      <c r="L8" s="297">
        <v>0</v>
      </c>
      <c r="M8" s="297">
        <v>0</v>
      </c>
      <c r="N8" s="297">
        <v>0</v>
      </c>
      <c r="O8" s="297" t="s">
        <v>122</v>
      </c>
      <c r="P8" s="297">
        <v>2.5</v>
      </c>
      <c r="Q8" s="297"/>
      <c r="R8" s="297">
        <v>1</v>
      </c>
      <c r="S8" s="205">
        <v>9</v>
      </c>
      <c r="T8" s="205">
        <v>2</v>
      </c>
    </row>
    <row r="9" spans="2:24" s="154" customFormat="1" ht="17.25" x14ac:dyDescent="0.3">
      <c r="B9" s="87">
        <v>5</v>
      </c>
      <c r="C9" s="300" t="s">
        <v>62</v>
      </c>
      <c r="D9" s="126"/>
      <c r="E9" s="136">
        <v>1</v>
      </c>
      <c r="F9" s="136">
        <v>0</v>
      </c>
      <c r="G9" s="126">
        <f t="shared" si="0"/>
        <v>1</v>
      </c>
      <c r="H9" s="136">
        <v>0</v>
      </c>
      <c r="I9" s="297">
        <v>0</v>
      </c>
      <c r="J9" s="297">
        <v>0</v>
      </c>
      <c r="K9" s="297">
        <v>0</v>
      </c>
      <c r="L9" s="297">
        <v>0</v>
      </c>
      <c r="M9" s="297">
        <v>0</v>
      </c>
      <c r="N9" s="297">
        <v>0</v>
      </c>
      <c r="O9" s="297" t="s">
        <v>122</v>
      </c>
      <c r="P9" s="297">
        <v>0</v>
      </c>
      <c r="Q9" s="297"/>
      <c r="R9" s="297">
        <v>1</v>
      </c>
      <c r="S9" s="205">
        <v>1</v>
      </c>
      <c r="T9" s="205">
        <v>1</v>
      </c>
    </row>
    <row r="10" spans="2:24" s="154" customFormat="1" ht="17.25" x14ac:dyDescent="0.3">
      <c r="B10" s="87">
        <v>6</v>
      </c>
      <c r="C10" s="300" t="s">
        <v>99</v>
      </c>
      <c r="D10" s="298"/>
      <c r="E10" s="118">
        <v>3</v>
      </c>
      <c r="F10" s="136">
        <v>2</v>
      </c>
      <c r="G10" s="126">
        <f t="shared" si="0"/>
        <v>5</v>
      </c>
      <c r="H10" s="118">
        <v>2</v>
      </c>
      <c r="I10" s="297">
        <v>1</v>
      </c>
      <c r="J10" s="297">
        <v>0</v>
      </c>
      <c r="K10" s="297">
        <v>0</v>
      </c>
      <c r="L10" s="297">
        <v>0</v>
      </c>
      <c r="M10" s="297">
        <v>0</v>
      </c>
      <c r="N10" s="297">
        <v>0</v>
      </c>
      <c r="O10" s="297">
        <v>0</v>
      </c>
      <c r="P10" s="297">
        <v>0</v>
      </c>
      <c r="Q10" s="297"/>
      <c r="R10" s="297">
        <v>7</v>
      </c>
      <c r="S10" s="205">
        <v>10</v>
      </c>
      <c r="T10" s="205">
        <v>3</v>
      </c>
    </row>
    <row r="11" spans="2:24" s="154" customFormat="1" ht="17.25" x14ac:dyDescent="0.3">
      <c r="B11" s="87">
        <v>7</v>
      </c>
      <c r="C11" s="301" t="s">
        <v>128</v>
      </c>
      <c r="D11" s="126"/>
      <c r="E11" s="118">
        <v>0.5</v>
      </c>
      <c r="F11" s="136">
        <v>2</v>
      </c>
      <c r="G11" s="126">
        <f t="shared" si="0"/>
        <v>2.5</v>
      </c>
      <c r="H11" s="118">
        <v>0</v>
      </c>
      <c r="I11" s="297">
        <v>4</v>
      </c>
      <c r="J11" s="297">
        <v>0</v>
      </c>
      <c r="K11" s="297">
        <v>0</v>
      </c>
      <c r="L11" s="297">
        <v>6</v>
      </c>
      <c r="M11" s="297">
        <v>0</v>
      </c>
      <c r="N11" s="297">
        <v>0</v>
      </c>
      <c r="O11" s="297" t="s">
        <v>122</v>
      </c>
      <c r="P11" s="297">
        <v>2</v>
      </c>
      <c r="Q11" s="297">
        <v>1</v>
      </c>
      <c r="R11" s="297">
        <v>3</v>
      </c>
      <c r="S11" s="205">
        <v>6</v>
      </c>
      <c r="T11" s="205">
        <v>0</v>
      </c>
    </row>
    <row r="12" spans="2:24" s="154" customFormat="1" ht="17.25" x14ac:dyDescent="0.3">
      <c r="B12" s="87">
        <v>8</v>
      </c>
      <c r="C12" s="301" t="s">
        <v>129</v>
      </c>
      <c r="D12" s="126"/>
      <c r="E12" s="118">
        <v>0</v>
      </c>
      <c r="F12" s="136">
        <v>3</v>
      </c>
      <c r="G12" s="126">
        <f t="shared" si="0"/>
        <v>3</v>
      </c>
      <c r="H12" s="136">
        <v>0</v>
      </c>
      <c r="I12" s="297">
        <v>0</v>
      </c>
      <c r="J12" s="297">
        <v>0</v>
      </c>
      <c r="K12" s="297">
        <v>0</v>
      </c>
      <c r="L12" s="297">
        <v>0</v>
      </c>
      <c r="M12" s="297">
        <v>0</v>
      </c>
      <c r="N12" s="297">
        <v>0</v>
      </c>
      <c r="O12" s="297" t="s">
        <v>122</v>
      </c>
      <c r="P12" s="297">
        <v>7.5</v>
      </c>
      <c r="Q12" s="297"/>
      <c r="R12" s="297">
        <v>6</v>
      </c>
      <c r="S12" s="205">
        <v>7</v>
      </c>
      <c r="T12" s="205">
        <v>5</v>
      </c>
    </row>
    <row r="13" spans="2:24" s="154" customFormat="1" ht="17.25" x14ac:dyDescent="0.3">
      <c r="B13" s="87">
        <v>9</v>
      </c>
      <c r="C13" s="300" t="s">
        <v>130</v>
      </c>
      <c r="D13" s="298"/>
      <c r="E13" s="118">
        <v>0</v>
      </c>
      <c r="F13" s="136">
        <v>4</v>
      </c>
      <c r="G13" s="126">
        <f t="shared" si="0"/>
        <v>4</v>
      </c>
      <c r="H13" s="136">
        <v>3</v>
      </c>
      <c r="I13" s="297">
        <v>0</v>
      </c>
      <c r="J13" s="297">
        <v>0</v>
      </c>
      <c r="K13" s="297">
        <v>0</v>
      </c>
      <c r="L13" s="297">
        <v>0</v>
      </c>
      <c r="M13" s="297">
        <v>0</v>
      </c>
      <c r="N13" s="297">
        <v>0</v>
      </c>
      <c r="O13" s="297">
        <v>0</v>
      </c>
      <c r="P13" s="297">
        <v>0</v>
      </c>
      <c r="Q13" s="297"/>
      <c r="R13" s="297">
        <v>11</v>
      </c>
      <c r="S13" s="205">
        <v>16</v>
      </c>
      <c r="T13" s="205">
        <v>3</v>
      </c>
      <c r="X13" s="154" t="s">
        <v>41</v>
      </c>
    </row>
    <row r="14" spans="2:24" s="154" customFormat="1" ht="17.25" x14ac:dyDescent="0.3">
      <c r="B14" s="87">
        <v>10</v>
      </c>
      <c r="C14" s="300" t="s">
        <v>30</v>
      </c>
      <c r="D14" s="298"/>
      <c r="E14" s="118">
        <v>4</v>
      </c>
      <c r="F14" s="136">
        <v>2</v>
      </c>
      <c r="G14" s="126">
        <f t="shared" si="0"/>
        <v>6</v>
      </c>
      <c r="H14" s="136">
        <v>0</v>
      </c>
      <c r="I14" s="297">
        <v>0</v>
      </c>
      <c r="J14" s="297">
        <v>0</v>
      </c>
      <c r="K14" s="297">
        <v>0</v>
      </c>
      <c r="L14" s="297">
        <v>0</v>
      </c>
      <c r="M14" s="297">
        <v>0</v>
      </c>
      <c r="N14" s="297">
        <v>0</v>
      </c>
      <c r="O14" s="297" t="s">
        <v>122</v>
      </c>
      <c r="P14" s="299">
        <v>3</v>
      </c>
      <c r="Q14" s="297"/>
      <c r="R14" s="299">
        <v>2</v>
      </c>
      <c r="S14" s="205">
        <v>5</v>
      </c>
      <c r="T14" s="205">
        <v>1</v>
      </c>
    </row>
    <row r="15" spans="2:24" s="154" customFormat="1" ht="17.25" x14ac:dyDescent="0.3">
      <c r="B15" s="87">
        <v>11</v>
      </c>
      <c r="C15" s="300" t="s">
        <v>61</v>
      </c>
      <c r="D15" s="126"/>
      <c r="E15" s="118">
        <v>3</v>
      </c>
      <c r="F15" s="136">
        <v>0</v>
      </c>
      <c r="G15" s="126">
        <f t="shared" si="0"/>
        <v>3</v>
      </c>
      <c r="H15" s="136">
        <v>2</v>
      </c>
      <c r="I15" s="297">
        <v>0</v>
      </c>
      <c r="J15" s="297">
        <v>0</v>
      </c>
      <c r="K15" s="297">
        <v>0</v>
      </c>
      <c r="L15" s="297">
        <v>0</v>
      </c>
      <c r="M15" s="297">
        <v>0</v>
      </c>
      <c r="N15" s="297">
        <v>0</v>
      </c>
      <c r="O15" s="297" t="s">
        <v>122</v>
      </c>
      <c r="P15" s="297">
        <v>0</v>
      </c>
      <c r="Q15" s="297"/>
      <c r="R15" s="297">
        <v>1</v>
      </c>
      <c r="S15" s="205">
        <v>2</v>
      </c>
      <c r="T15" s="205">
        <v>5</v>
      </c>
    </row>
    <row r="16" spans="2:24" s="154" customFormat="1" ht="17.25" customHeight="1" x14ac:dyDescent="0.3">
      <c r="B16" s="87">
        <v>12</v>
      </c>
      <c r="C16" s="300" t="s">
        <v>63</v>
      </c>
      <c r="D16" s="126"/>
      <c r="E16" s="136">
        <v>0</v>
      </c>
      <c r="F16" s="136">
        <v>3</v>
      </c>
      <c r="G16" s="126">
        <f t="shared" si="0"/>
        <v>3</v>
      </c>
      <c r="H16" s="136">
        <v>0</v>
      </c>
      <c r="I16" s="297">
        <v>0</v>
      </c>
      <c r="J16" s="297">
        <v>1</v>
      </c>
      <c r="K16" s="297">
        <v>0</v>
      </c>
      <c r="L16" s="297">
        <v>0</v>
      </c>
      <c r="M16" s="297">
        <v>0</v>
      </c>
      <c r="N16" s="297">
        <v>0</v>
      </c>
      <c r="O16" s="297" t="s">
        <v>122</v>
      </c>
      <c r="P16" s="297">
        <v>1.5</v>
      </c>
      <c r="Q16" s="297"/>
      <c r="R16" s="297">
        <v>3</v>
      </c>
      <c r="S16" s="205">
        <v>6</v>
      </c>
      <c r="T16" s="205">
        <v>1</v>
      </c>
    </row>
    <row r="17" spans="2:20" s="154" customFormat="1" ht="17.25" x14ac:dyDescent="0.3">
      <c r="B17" s="87">
        <v>13</v>
      </c>
      <c r="C17" s="300" t="s">
        <v>125</v>
      </c>
      <c r="D17" s="126"/>
      <c r="E17" s="118">
        <v>1</v>
      </c>
      <c r="F17" s="136">
        <v>1</v>
      </c>
      <c r="G17" s="126">
        <f t="shared" si="0"/>
        <v>2</v>
      </c>
      <c r="H17" s="136">
        <v>3</v>
      </c>
      <c r="I17" s="297">
        <v>3</v>
      </c>
      <c r="J17" s="297">
        <v>0</v>
      </c>
      <c r="K17" s="297">
        <v>0</v>
      </c>
      <c r="L17" s="297">
        <v>3</v>
      </c>
      <c r="M17" s="297">
        <v>0</v>
      </c>
      <c r="N17" s="297">
        <v>0</v>
      </c>
      <c r="O17" s="297" t="s">
        <v>177</v>
      </c>
      <c r="P17" s="297">
        <v>2</v>
      </c>
      <c r="Q17" s="297"/>
      <c r="R17" s="297">
        <v>4</v>
      </c>
      <c r="S17" s="205">
        <v>8</v>
      </c>
      <c r="T17" s="205">
        <v>3</v>
      </c>
    </row>
    <row r="18" spans="2:20" s="154" customFormat="1" ht="18" customHeight="1" x14ac:dyDescent="0.3">
      <c r="B18" s="87">
        <v>14</v>
      </c>
      <c r="C18" s="300" t="s">
        <v>49</v>
      </c>
      <c r="D18" s="126"/>
      <c r="E18" s="118">
        <v>1.5</v>
      </c>
      <c r="F18" s="136">
        <v>0</v>
      </c>
      <c r="G18" s="126">
        <f t="shared" si="0"/>
        <v>1.5</v>
      </c>
      <c r="H18" s="136">
        <v>1</v>
      </c>
      <c r="I18" s="297">
        <v>0</v>
      </c>
      <c r="J18" s="297">
        <v>0</v>
      </c>
      <c r="K18" s="297">
        <v>0</v>
      </c>
      <c r="L18" s="297">
        <v>0</v>
      </c>
      <c r="M18" s="297">
        <v>0</v>
      </c>
      <c r="N18" s="297">
        <v>0</v>
      </c>
      <c r="O18" s="297" t="s">
        <v>178</v>
      </c>
      <c r="P18" s="297">
        <v>2.5</v>
      </c>
      <c r="Q18" s="297"/>
      <c r="R18" s="297">
        <v>4</v>
      </c>
      <c r="S18" s="205">
        <v>9</v>
      </c>
      <c r="T18" s="205">
        <v>4</v>
      </c>
    </row>
    <row r="19" spans="2:20" s="154" customFormat="1" ht="22.5" customHeight="1" x14ac:dyDescent="0.3">
      <c r="B19" s="87">
        <v>15</v>
      </c>
      <c r="C19" s="301" t="s">
        <v>126</v>
      </c>
      <c r="D19" s="126"/>
      <c r="E19" s="136">
        <v>0.5</v>
      </c>
      <c r="F19" s="136">
        <v>0</v>
      </c>
      <c r="G19" s="126">
        <f t="shared" si="0"/>
        <v>0.5</v>
      </c>
      <c r="H19" s="136">
        <v>0</v>
      </c>
      <c r="I19" s="297">
        <v>0</v>
      </c>
      <c r="J19" s="297">
        <v>0</v>
      </c>
      <c r="K19" s="297">
        <v>0</v>
      </c>
      <c r="L19" s="297">
        <v>0</v>
      </c>
      <c r="M19" s="297">
        <v>0</v>
      </c>
      <c r="N19" s="297">
        <v>0</v>
      </c>
      <c r="O19" s="297"/>
      <c r="P19" s="297">
        <v>15</v>
      </c>
      <c r="Q19" s="297"/>
      <c r="R19" s="297">
        <v>1</v>
      </c>
      <c r="S19" s="205">
        <v>3</v>
      </c>
      <c r="T19" s="205">
        <v>0</v>
      </c>
    </row>
    <row r="20" spans="2:20" s="154" customFormat="1" ht="17.25" x14ac:dyDescent="0.3">
      <c r="B20" s="87">
        <v>16</v>
      </c>
      <c r="C20" s="300" t="s">
        <v>77</v>
      </c>
      <c r="D20" s="298"/>
      <c r="E20" s="118">
        <v>1</v>
      </c>
      <c r="F20" s="136">
        <v>0</v>
      </c>
      <c r="G20" s="126">
        <f t="shared" si="0"/>
        <v>1</v>
      </c>
      <c r="H20" s="136">
        <v>0</v>
      </c>
      <c r="I20" s="297">
        <v>0</v>
      </c>
      <c r="J20" s="297">
        <v>2</v>
      </c>
      <c r="K20" s="297">
        <v>0</v>
      </c>
      <c r="L20" s="297">
        <v>0</v>
      </c>
      <c r="M20" s="297">
        <v>2</v>
      </c>
      <c r="N20" s="297">
        <v>0</v>
      </c>
      <c r="O20" s="297">
        <v>0</v>
      </c>
      <c r="P20" s="297">
        <v>0</v>
      </c>
      <c r="Q20" s="297"/>
      <c r="R20" s="299">
        <v>8</v>
      </c>
      <c r="S20" s="205">
        <v>21</v>
      </c>
      <c r="T20" s="205">
        <v>5</v>
      </c>
    </row>
    <row r="21" spans="2:20" s="154" customFormat="1" ht="17.25" x14ac:dyDescent="0.3">
      <c r="B21" s="87">
        <v>17</v>
      </c>
      <c r="C21" s="301" t="s">
        <v>112</v>
      </c>
      <c r="D21" s="126"/>
      <c r="E21" s="118">
        <v>0</v>
      </c>
      <c r="F21" s="136">
        <v>0</v>
      </c>
      <c r="G21" s="126">
        <f t="shared" si="0"/>
        <v>0</v>
      </c>
      <c r="H21" s="136">
        <v>0</v>
      </c>
      <c r="I21" s="297">
        <v>0</v>
      </c>
      <c r="J21" s="297">
        <v>0</v>
      </c>
      <c r="K21" s="297">
        <v>0</v>
      </c>
      <c r="L21" s="297">
        <v>0</v>
      </c>
      <c r="M21" s="297">
        <v>0</v>
      </c>
      <c r="N21" s="297">
        <v>0</v>
      </c>
      <c r="O21" s="297" t="s">
        <v>122</v>
      </c>
      <c r="P21" s="297">
        <v>1</v>
      </c>
      <c r="Q21" s="297"/>
      <c r="R21" s="297">
        <v>2</v>
      </c>
      <c r="S21" s="205">
        <v>4</v>
      </c>
      <c r="T21" s="205">
        <v>2</v>
      </c>
    </row>
    <row r="22" spans="2:20" s="155" customFormat="1" ht="17.25" x14ac:dyDescent="0.3">
      <c r="B22" s="87">
        <v>18</v>
      </c>
      <c r="C22" s="214" t="s">
        <v>113</v>
      </c>
      <c r="D22" s="126"/>
      <c r="E22" s="136">
        <v>0</v>
      </c>
      <c r="F22" s="136">
        <v>1</v>
      </c>
      <c r="G22" s="126">
        <f>SUM($E22:$F22)</f>
        <v>1</v>
      </c>
      <c r="H22" s="136">
        <v>0</v>
      </c>
      <c r="I22" s="297">
        <v>0</v>
      </c>
      <c r="J22" s="297">
        <v>0</v>
      </c>
      <c r="K22" s="297">
        <v>0</v>
      </c>
      <c r="L22" s="297">
        <v>0</v>
      </c>
      <c r="M22" s="297">
        <v>0</v>
      </c>
      <c r="N22" s="297">
        <v>0</v>
      </c>
      <c r="O22" s="297" t="s">
        <v>122</v>
      </c>
      <c r="P22" s="297">
        <v>1</v>
      </c>
      <c r="Q22" s="297"/>
      <c r="R22" s="297">
        <v>3</v>
      </c>
      <c r="S22" s="205">
        <v>8</v>
      </c>
      <c r="T22" s="205">
        <v>1</v>
      </c>
    </row>
    <row r="23" spans="2:20" s="155" customFormat="1" ht="17.25" x14ac:dyDescent="0.3">
      <c r="B23" s="87">
        <v>19</v>
      </c>
      <c r="C23" s="214" t="s">
        <v>137</v>
      </c>
      <c r="D23" s="126"/>
      <c r="E23" s="136">
        <v>0</v>
      </c>
      <c r="F23" s="136">
        <v>3</v>
      </c>
      <c r="G23" s="126">
        <f t="shared" si="0"/>
        <v>3</v>
      </c>
      <c r="H23" s="136">
        <v>0</v>
      </c>
      <c r="I23" s="297">
        <v>0</v>
      </c>
      <c r="J23" s="297">
        <v>0</v>
      </c>
      <c r="K23" s="297">
        <v>0</v>
      </c>
      <c r="L23" s="297">
        <v>0</v>
      </c>
      <c r="M23" s="297">
        <v>0</v>
      </c>
      <c r="N23" s="297">
        <v>0</v>
      </c>
      <c r="O23" s="297" t="s">
        <v>121</v>
      </c>
      <c r="P23" s="297">
        <v>0</v>
      </c>
      <c r="Q23" s="297"/>
      <c r="R23" s="297">
        <v>4</v>
      </c>
      <c r="S23" s="205">
        <v>7</v>
      </c>
      <c r="T23" s="205">
        <v>2</v>
      </c>
    </row>
    <row r="24" spans="2:20" s="155" customFormat="1" ht="17.25" x14ac:dyDescent="0.3">
      <c r="B24" s="87">
        <v>20</v>
      </c>
      <c r="C24" s="214" t="s">
        <v>138</v>
      </c>
      <c r="D24" s="126"/>
      <c r="E24" s="136">
        <v>0</v>
      </c>
      <c r="F24" s="136">
        <v>3</v>
      </c>
      <c r="G24" s="126">
        <f t="shared" si="0"/>
        <v>3</v>
      </c>
      <c r="H24" s="136">
        <v>0</v>
      </c>
      <c r="I24" s="297">
        <v>0</v>
      </c>
      <c r="J24" s="297">
        <v>0</v>
      </c>
      <c r="K24" s="297">
        <v>0</v>
      </c>
      <c r="L24" s="297">
        <v>0</v>
      </c>
      <c r="M24" s="297">
        <v>0</v>
      </c>
      <c r="N24" s="297">
        <v>0</v>
      </c>
      <c r="O24" s="297"/>
      <c r="P24" s="297">
        <v>1</v>
      </c>
      <c r="Q24" s="297"/>
      <c r="R24" s="297">
        <v>3</v>
      </c>
      <c r="S24" s="205">
        <v>5</v>
      </c>
      <c r="T24" s="205">
        <v>1</v>
      </c>
    </row>
    <row r="25" spans="2:20" s="155" customFormat="1" ht="17.25" customHeight="1" x14ac:dyDescent="0.3">
      <c r="B25" s="87">
        <v>21</v>
      </c>
      <c r="C25" s="214" t="s">
        <v>139</v>
      </c>
      <c r="D25" s="126"/>
      <c r="E25" s="136">
        <v>0</v>
      </c>
      <c r="F25" s="136">
        <v>0</v>
      </c>
      <c r="G25" s="126">
        <f t="shared" si="0"/>
        <v>0</v>
      </c>
      <c r="H25" s="136">
        <v>0</v>
      </c>
      <c r="I25" s="297">
        <v>0</v>
      </c>
      <c r="J25" s="297">
        <v>0</v>
      </c>
      <c r="K25" s="297">
        <v>0</v>
      </c>
      <c r="L25" s="297">
        <v>0</v>
      </c>
      <c r="M25" s="297">
        <v>0</v>
      </c>
      <c r="N25" s="297">
        <v>0</v>
      </c>
      <c r="O25" s="297">
        <v>0</v>
      </c>
      <c r="P25" s="297">
        <v>0</v>
      </c>
      <c r="Q25" s="297"/>
      <c r="R25" s="297">
        <v>1</v>
      </c>
      <c r="S25" s="205">
        <v>3</v>
      </c>
      <c r="T25" s="205">
        <v>0</v>
      </c>
    </row>
    <row r="26" spans="2:20" s="155" customFormat="1" ht="17.25" x14ac:dyDescent="0.3">
      <c r="B26" s="87">
        <v>22</v>
      </c>
      <c r="C26" s="214" t="s">
        <v>140</v>
      </c>
      <c r="D26" s="126"/>
      <c r="E26" s="136">
        <v>0</v>
      </c>
      <c r="F26" s="136">
        <v>1</v>
      </c>
      <c r="G26" s="126">
        <f t="shared" si="0"/>
        <v>1</v>
      </c>
      <c r="H26" s="136">
        <v>0</v>
      </c>
      <c r="I26" s="297">
        <v>3</v>
      </c>
      <c r="J26" s="297">
        <v>0</v>
      </c>
      <c r="K26" s="297">
        <v>0</v>
      </c>
      <c r="L26" s="297">
        <v>3</v>
      </c>
      <c r="M26" s="297">
        <v>1</v>
      </c>
      <c r="N26" s="297">
        <v>3</v>
      </c>
      <c r="O26" s="297" t="s">
        <v>122</v>
      </c>
      <c r="P26" s="297">
        <v>1</v>
      </c>
      <c r="Q26" s="297"/>
      <c r="R26" s="297">
        <v>0</v>
      </c>
      <c r="S26" s="205">
        <v>3</v>
      </c>
      <c r="T26" s="205">
        <v>1</v>
      </c>
    </row>
    <row r="27" spans="2:20" s="155" customFormat="1" ht="17.25" x14ac:dyDescent="0.3">
      <c r="B27" s="87">
        <v>23</v>
      </c>
      <c r="C27" s="214" t="s">
        <v>115</v>
      </c>
      <c r="D27" s="126"/>
      <c r="E27" s="136">
        <v>0</v>
      </c>
      <c r="F27" s="136">
        <v>0</v>
      </c>
      <c r="G27" s="126">
        <f t="shared" si="0"/>
        <v>0</v>
      </c>
      <c r="H27" s="136">
        <v>0</v>
      </c>
      <c r="I27" s="297">
        <v>1</v>
      </c>
      <c r="J27" s="297">
        <v>0</v>
      </c>
      <c r="K27" s="297">
        <v>0</v>
      </c>
      <c r="L27" s="297">
        <v>1</v>
      </c>
      <c r="M27" s="297">
        <v>0</v>
      </c>
      <c r="N27" s="297">
        <v>1</v>
      </c>
      <c r="O27" s="297" t="s">
        <v>122</v>
      </c>
      <c r="P27" s="119"/>
      <c r="Q27" s="297"/>
      <c r="R27" s="297">
        <v>0</v>
      </c>
      <c r="S27" s="205">
        <v>0</v>
      </c>
      <c r="T27" s="205">
        <v>0</v>
      </c>
    </row>
    <row r="28" spans="2:20" s="155" customFormat="1" ht="17.25" x14ac:dyDescent="0.3">
      <c r="B28" s="87">
        <v>24</v>
      </c>
      <c r="C28" s="214" t="s">
        <v>180</v>
      </c>
      <c r="D28" s="126"/>
      <c r="E28" s="136">
        <v>0</v>
      </c>
      <c r="F28" s="136">
        <v>0</v>
      </c>
      <c r="G28" s="126">
        <f t="shared" si="0"/>
        <v>0</v>
      </c>
      <c r="H28" s="136">
        <v>0</v>
      </c>
      <c r="I28" s="297">
        <v>0</v>
      </c>
      <c r="J28" s="297">
        <v>0</v>
      </c>
      <c r="K28" s="297">
        <v>0</v>
      </c>
      <c r="L28" s="297">
        <v>0</v>
      </c>
      <c r="M28" s="297">
        <v>0</v>
      </c>
      <c r="N28" s="297">
        <v>0</v>
      </c>
      <c r="O28" s="297">
        <v>0</v>
      </c>
      <c r="P28" s="297">
        <v>0</v>
      </c>
      <c r="Q28" s="297"/>
      <c r="R28" s="297">
        <v>1</v>
      </c>
      <c r="S28" s="205">
        <v>2</v>
      </c>
      <c r="T28" s="205">
        <v>0</v>
      </c>
    </row>
    <row r="29" spans="2:20" s="155" customFormat="1" ht="17.25" x14ac:dyDescent="0.3">
      <c r="B29" s="87">
        <v>25</v>
      </c>
      <c r="C29" s="214" t="s">
        <v>175</v>
      </c>
      <c r="D29" s="126"/>
      <c r="E29" s="136">
        <v>1</v>
      </c>
      <c r="F29" s="136">
        <v>2</v>
      </c>
      <c r="G29" s="126">
        <f t="shared" si="0"/>
        <v>3</v>
      </c>
      <c r="H29" s="136">
        <v>0</v>
      </c>
      <c r="I29" s="297">
        <v>4</v>
      </c>
      <c r="J29" s="297">
        <v>0</v>
      </c>
      <c r="K29" s="297">
        <v>0</v>
      </c>
      <c r="L29" s="297">
        <v>3</v>
      </c>
      <c r="M29" s="297">
        <v>1</v>
      </c>
      <c r="N29" s="297">
        <v>0</v>
      </c>
      <c r="O29" s="297" t="s">
        <v>122</v>
      </c>
      <c r="P29" s="297">
        <v>1.5</v>
      </c>
      <c r="Q29" s="297"/>
      <c r="R29" s="297">
        <v>2</v>
      </c>
      <c r="S29" s="205">
        <v>6</v>
      </c>
      <c r="T29" s="205">
        <v>2</v>
      </c>
    </row>
    <row r="30" spans="2:20" s="155" customFormat="1" ht="17.25" x14ac:dyDescent="0.3">
      <c r="B30" s="87">
        <v>26</v>
      </c>
      <c r="C30" s="214" t="s">
        <v>117</v>
      </c>
      <c r="D30" s="126"/>
      <c r="E30" s="136">
        <v>0</v>
      </c>
      <c r="F30" s="136">
        <v>0</v>
      </c>
      <c r="G30" s="126">
        <f t="shared" si="0"/>
        <v>0</v>
      </c>
      <c r="H30" s="136">
        <v>0</v>
      </c>
      <c r="I30" s="297">
        <v>0</v>
      </c>
      <c r="J30" s="297">
        <v>0</v>
      </c>
      <c r="K30" s="297">
        <v>0</v>
      </c>
      <c r="L30" s="297">
        <v>0</v>
      </c>
      <c r="M30" s="297">
        <v>0</v>
      </c>
      <c r="N30" s="297">
        <v>0</v>
      </c>
      <c r="O30" s="297"/>
      <c r="P30" s="297">
        <v>1</v>
      </c>
      <c r="Q30" s="297"/>
      <c r="R30" s="297">
        <v>2</v>
      </c>
      <c r="S30" s="205">
        <v>1</v>
      </c>
      <c r="T30" s="205">
        <v>0</v>
      </c>
    </row>
    <row r="31" spans="2:20" s="155" customFormat="1" ht="17.25" x14ac:dyDescent="0.3">
      <c r="B31" s="87">
        <v>27</v>
      </c>
      <c r="C31" s="214" t="s">
        <v>59</v>
      </c>
      <c r="D31" s="126"/>
      <c r="E31" s="136">
        <v>0.5</v>
      </c>
      <c r="F31" s="136">
        <v>0</v>
      </c>
      <c r="G31" s="126">
        <f t="shared" si="0"/>
        <v>0.5</v>
      </c>
      <c r="H31" s="136">
        <v>0</v>
      </c>
      <c r="I31" s="297">
        <v>0</v>
      </c>
      <c r="J31" s="297">
        <v>0</v>
      </c>
      <c r="K31" s="297">
        <v>0</v>
      </c>
      <c r="L31" s="297">
        <v>0</v>
      </c>
      <c r="M31" s="297">
        <v>0</v>
      </c>
      <c r="N31" s="297">
        <v>0</v>
      </c>
      <c r="O31" s="297"/>
      <c r="P31" s="297">
        <v>0</v>
      </c>
      <c r="Q31" s="297"/>
      <c r="R31" s="297">
        <v>0</v>
      </c>
      <c r="S31" s="205">
        <v>0</v>
      </c>
      <c r="T31" s="205">
        <v>0</v>
      </c>
    </row>
    <row r="32" spans="2:20" s="155" customFormat="1" ht="17.25" x14ac:dyDescent="0.3">
      <c r="B32" s="87">
        <v>28</v>
      </c>
      <c r="C32" s="214" t="s">
        <v>182</v>
      </c>
      <c r="D32" s="126"/>
      <c r="E32" s="136">
        <v>0</v>
      </c>
      <c r="F32" s="136">
        <v>0</v>
      </c>
      <c r="G32" s="126">
        <v>0</v>
      </c>
      <c r="H32" s="136">
        <v>0</v>
      </c>
      <c r="I32" s="297">
        <v>0</v>
      </c>
      <c r="J32" s="297">
        <v>0</v>
      </c>
      <c r="K32" s="297">
        <v>0</v>
      </c>
      <c r="L32" s="297">
        <v>0</v>
      </c>
      <c r="M32" s="297">
        <v>0</v>
      </c>
      <c r="N32" s="297">
        <v>0</v>
      </c>
      <c r="O32" s="297"/>
      <c r="P32" s="297">
        <v>0</v>
      </c>
      <c r="Q32" s="297"/>
      <c r="R32" s="297">
        <v>0</v>
      </c>
      <c r="S32" s="205">
        <v>0</v>
      </c>
      <c r="T32" s="205">
        <v>0</v>
      </c>
    </row>
    <row r="33" spans="2:20" s="155" customFormat="1" ht="17.25" x14ac:dyDescent="0.3">
      <c r="B33" s="87">
        <v>29</v>
      </c>
      <c r="C33" s="214" t="s">
        <v>183</v>
      </c>
      <c r="D33" s="126"/>
      <c r="E33" s="136">
        <v>0</v>
      </c>
      <c r="F33" s="136">
        <v>0</v>
      </c>
      <c r="G33" s="126">
        <v>0</v>
      </c>
      <c r="H33" s="136">
        <v>0</v>
      </c>
      <c r="I33" s="297">
        <v>0</v>
      </c>
      <c r="J33" s="297">
        <v>0</v>
      </c>
      <c r="K33" s="297">
        <v>0</v>
      </c>
      <c r="L33" s="297">
        <v>0</v>
      </c>
      <c r="M33" s="297">
        <v>0</v>
      </c>
      <c r="N33" s="297">
        <v>0</v>
      </c>
      <c r="O33" s="297"/>
      <c r="P33" s="297">
        <v>0</v>
      </c>
      <c r="Q33" s="297"/>
      <c r="R33" s="297">
        <v>0</v>
      </c>
      <c r="S33" s="205">
        <v>0</v>
      </c>
      <c r="T33" s="205">
        <v>0</v>
      </c>
    </row>
    <row r="34" spans="2:20" s="155" customFormat="1" ht="17.25" x14ac:dyDescent="0.3">
      <c r="B34" s="87">
        <v>30</v>
      </c>
      <c r="C34" s="214" t="s">
        <v>184</v>
      </c>
      <c r="D34" s="126"/>
      <c r="E34" s="136">
        <v>0</v>
      </c>
      <c r="F34" s="136">
        <v>0</v>
      </c>
      <c r="G34" s="126">
        <v>0</v>
      </c>
      <c r="H34" s="136">
        <v>0</v>
      </c>
      <c r="I34" s="297">
        <v>0</v>
      </c>
      <c r="J34" s="297">
        <v>0</v>
      </c>
      <c r="K34" s="297">
        <v>0</v>
      </c>
      <c r="L34" s="297">
        <v>0</v>
      </c>
      <c r="M34" s="297">
        <v>0</v>
      </c>
      <c r="N34" s="297">
        <v>0</v>
      </c>
      <c r="O34" s="297"/>
      <c r="P34" s="297">
        <v>0</v>
      </c>
      <c r="Q34" s="297"/>
      <c r="R34" s="297">
        <v>0</v>
      </c>
      <c r="S34" s="205">
        <v>0</v>
      </c>
      <c r="T34" s="205">
        <v>0</v>
      </c>
    </row>
    <row r="35" spans="2:20" s="155" customFormat="1" ht="17.25" x14ac:dyDescent="0.3">
      <c r="B35" s="87">
        <v>31</v>
      </c>
      <c r="C35" s="214" t="s">
        <v>185</v>
      </c>
      <c r="D35" s="126"/>
      <c r="E35" s="136">
        <v>0</v>
      </c>
      <c r="F35" s="136">
        <v>0</v>
      </c>
      <c r="G35" s="126">
        <v>0</v>
      </c>
      <c r="H35" s="136">
        <v>0</v>
      </c>
      <c r="I35" s="297">
        <v>0</v>
      </c>
      <c r="J35" s="297">
        <v>0</v>
      </c>
      <c r="K35" s="297">
        <v>0</v>
      </c>
      <c r="L35" s="297">
        <v>0</v>
      </c>
      <c r="M35" s="297">
        <v>0</v>
      </c>
      <c r="N35" s="297">
        <v>0</v>
      </c>
      <c r="O35" s="297"/>
      <c r="P35" s="297">
        <v>0</v>
      </c>
      <c r="Q35" s="297"/>
      <c r="R35" s="297">
        <v>0</v>
      </c>
      <c r="S35" s="205">
        <v>0</v>
      </c>
      <c r="T35" s="205">
        <v>0</v>
      </c>
    </row>
    <row r="36" spans="2:20" s="155" customFormat="1" ht="17.25" x14ac:dyDescent="0.3">
      <c r="B36" s="87">
        <v>32</v>
      </c>
      <c r="C36" s="214" t="s">
        <v>186</v>
      </c>
      <c r="D36" s="126"/>
      <c r="E36" s="136">
        <v>0</v>
      </c>
      <c r="F36" s="136">
        <v>0</v>
      </c>
      <c r="G36" s="126">
        <v>0</v>
      </c>
      <c r="H36" s="136">
        <v>0</v>
      </c>
      <c r="I36" s="297">
        <v>0</v>
      </c>
      <c r="J36" s="297">
        <v>0</v>
      </c>
      <c r="K36" s="297">
        <v>0</v>
      </c>
      <c r="L36" s="297">
        <v>0</v>
      </c>
      <c r="M36" s="297">
        <v>0</v>
      </c>
      <c r="N36" s="297">
        <v>0</v>
      </c>
      <c r="O36" s="297"/>
      <c r="P36" s="297">
        <v>0</v>
      </c>
      <c r="Q36" s="297"/>
      <c r="R36" s="297">
        <v>0</v>
      </c>
      <c r="S36" s="205">
        <v>0</v>
      </c>
      <c r="T36" s="205">
        <v>0</v>
      </c>
    </row>
    <row r="37" spans="2:20" s="154" customFormat="1" ht="17.25" customHeight="1" x14ac:dyDescent="0.2">
      <c r="B37" s="302"/>
      <c r="C37" s="302" t="s">
        <v>17</v>
      </c>
      <c r="D37" s="303">
        <f>SUM(D5:D22)</f>
        <v>0</v>
      </c>
      <c r="E37" s="304">
        <f>SUM(E5:E36)</f>
        <v>22.5</v>
      </c>
      <c r="F37" s="304">
        <f>SUM(F5:F36)</f>
        <v>33</v>
      </c>
      <c r="G37" s="304">
        <f>SUM($E37:$F37)</f>
        <v>55.5</v>
      </c>
      <c r="H37" s="304">
        <f t="shared" ref="H37:N37" si="1">SUM(H5:H36)</f>
        <v>17</v>
      </c>
      <c r="I37" s="304">
        <f t="shared" si="1"/>
        <v>18</v>
      </c>
      <c r="J37" s="304">
        <f t="shared" si="1"/>
        <v>4</v>
      </c>
      <c r="K37" s="304">
        <f t="shared" si="1"/>
        <v>0</v>
      </c>
      <c r="L37" s="304">
        <f t="shared" si="1"/>
        <v>17</v>
      </c>
      <c r="M37" s="304">
        <f t="shared" si="1"/>
        <v>6</v>
      </c>
      <c r="N37" s="304">
        <f t="shared" si="1"/>
        <v>4</v>
      </c>
      <c r="O37" s="304">
        <f>SUM(O5:O27)</f>
        <v>0</v>
      </c>
      <c r="P37" s="304">
        <f>SUM(P5:P36)</f>
        <v>44</v>
      </c>
      <c r="Q37" s="304">
        <f>SUM(Q5:Q36)</f>
        <v>1</v>
      </c>
      <c r="R37" s="304">
        <f>SUM(R5:R36)</f>
        <v>80</v>
      </c>
      <c r="S37" s="304">
        <f>SUM(S5:S36)</f>
        <v>159</v>
      </c>
      <c r="T37" s="304">
        <f>SUM(T5:T36)</f>
        <v>51</v>
      </c>
    </row>
    <row r="38" spans="2:20" ht="16.5" customHeight="1" x14ac:dyDescent="0.25"/>
    <row r="39" spans="2:20" ht="15" customHeight="1" x14ac:dyDescent="0.25"/>
    <row r="41" spans="2:20" ht="15" customHeight="1" x14ac:dyDescent="0.25"/>
  </sheetData>
  <mergeCells count="21">
    <mergeCell ref="U2:U4"/>
    <mergeCell ref="E3:E4"/>
    <mergeCell ref="F3:F4"/>
    <mergeCell ref="G3:G4"/>
    <mergeCell ref="H3:H4"/>
    <mergeCell ref="N2:N4"/>
    <mergeCell ref="O2:O4"/>
    <mergeCell ref="P2:Q3"/>
    <mergeCell ref="R2:R4"/>
    <mergeCell ref="S2:S4"/>
    <mergeCell ref="T2:T4"/>
    <mergeCell ref="B1:T1"/>
    <mergeCell ref="B2:B4"/>
    <mergeCell ref="C2:C4"/>
    <mergeCell ref="D2:D4"/>
    <mergeCell ref="E2:H2"/>
    <mergeCell ref="I2:I4"/>
    <mergeCell ref="J2:J4"/>
    <mergeCell ref="K2:K4"/>
    <mergeCell ref="L2:L4"/>
    <mergeCell ref="M2:M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aug</vt:lpstr>
      <vt:lpstr>sep</vt:lpstr>
      <vt:lpstr>oct</vt:lpstr>
      <vt:lpstr>nov</vt:lpstr>
      <vt:lpstr>dec</vt:lpstr>
      <vt:lpstr>jan</vt:lpstr>
      <vt:lpstr>feb</vt:lpstr>
      <vt:lpstr>mar</vt:lpstr>
      <vt:lpstr>apr</vt:lpstr>
      <vt:lpstr>may</vt:lpstr>
      <vt:lpstr>june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Shaik Roshni Ali</dc:creator>
  <cp:lastModifiedBy>Shaik Roshni Ali</cp:lastModifiedBy>
  <dcterms:created xsi:type="dcterms:W3CDTF">2025-07-04T05:39:39Z</dcterms:created>
  <dcterms:modified xsi:type="dcterms:W3CDTF">2025-07-04T05:47:34Z</dcterms:modified>
</cp:coreProperties>
</file>